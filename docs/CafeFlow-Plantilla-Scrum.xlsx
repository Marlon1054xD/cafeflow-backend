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5"/>
    <sheet state="visible" name="PRODUCT_BACKLOG" sheetId="2" r:id="rId6"/>
    <sheet state="visible" name="HE-01" sheetId="3" r:id="rId7"/>
    <sheet state="visible" name="HE-03" sheetId="4" r:id="rId8"/>
    <sheet state="visible" name="SPRINT_2" sheetId="5" r:id="rId9"/>
  </sheets>
  <definedNames/>
  <calcPr/>
</workbook>
</file>

<file path=xl/sharedStrings.xml><?xml version="1.0" encoding="utf-8"?>
<sst xmlns="http://schemas.openxmlformats.org/spreadsheetml/2006/main" count="553" uniqueCount="317">
  <si>
    <t>Proyecto</t>
  </si>
  <si>
    <t>CaféFlow — Pedidos de cafetería</t>
  </si>
  <si>
    <t>Enunciado de la Historia Épica</t>
  </si>
  <si>
    <t>Descomposición</t>
  </si>
  <si>
    <t>Prioridad</t>
  </si>
  <si>
    <t>Identificador (ID) de la Historia</t>
  </si>
  <si>
    <t>Rol</t>
  </si>
  <si>
    <t>Característica / Funcionalidad</t>
  </si>
  <si>
    <t>Razón / Resultado</t>
  </si>
  <si>
    <t>Item</t>
  </si>
  <si>
    <t>Descripción</t>
  </si>
  <si>
    <t>HE-01 / SCRUM-5</t>
  </si>
  <si>
    <t xml:space="preserve"> 
Documento de Historias de Usuario</t>
  </si>
  <si>
    <t>Personal de cafetería</t>
  </si>
  <si>
    <t>CaféFlow — HE-02 / SCRUM-10: Configuración inicial backend</t>
  </si>
  <si>
    <t>Gestión de pedidos</t>
  </si>
  <si>
    <t>CaféFlow — HE-01 / SCRUM-5: Gestión de pedidos (pendiente)</t>
  </si>
  <si>
    <t>Como personal de cafetería, necesito registrar y consultar pedidos y gestionar sus estados para organizar la preparación y entrega.</t>
  </si>
  <si>
    <t>SCRUM-6</t>
  </si>
  <si>
    <t>Crear pedido — pendiente; ver HE-01</t>
  </si>
  <si>
    <t>Retornar</t>
  </si>
  <si>
    <t>SCRUM-7</t>
  </si>
  <si>
    <t>Consultar pendientes — pendiente; ver HE-01</t>
  </si>
  <si>
    <t>SCRUM-8</t>
  </si>
  <si>
    <t>Actualizar estado — pendiente; ver HE-01</t>
  </si>
  <si>
    <t>SCRUM-9</t>
  </si>
  <si>
    <t>Consultar detalle — pendiente; ver HE-01</t>
  </si>
  <si>
    <t>HE-02 / SCRUM-10</t>
  </si>
  <si>
    <t>Equipo de desarrollo</t>
  </si>
  <si>
    <t>Configuración inicial backend</t>
  </si>
  <si>
    <t>Como equipo de desarrollo, necesitamos una base de servidor, conexión y organización por capas para implementar y verificar el backend.</t>
  </si>
  <si>
    <t>SCRUM-11</t>
  </si>
  <si>
    <t>Servidor Express y estructura — completado</t>
  </si>
  <si>
    <t>SCRUM-12</t>
  </si>
  <si>
    <t>Atlas y entorno — completado</t>
  </si>
  <si>
    <t>SCRUM-13</t>
  </si>
  <si>
    <t>Endpoint de salud finalizado e integrado — PR #5.</t>
  </si>
  <si>
    <t>Sprint 2: usuarios, autenticación JWT, pruebas Jest/Postman/JMeter y CI con GitHub Actions.</t>
  </si>
  <si>
    <t>Enunciado de la Historia</t>
  </si>
  <si>
    <t>Criterios de Aceptación</t>
  </si>
  <si>
    <t>La épica de pedidos se conserva como alcance planificado. El detalle y las evidencias del Sprint 2 están en SPRINT_2.</t>
  </si>
  <si>
    <t>Escenario</t>
  </si>
  <si>
    <t>Código CA</t>
  </si>
  <si>
    <t>Criterio de Aceptación (Título)</t>
  </si>
  <si>
    <t>Contexto</t>
  </si>
  <si>
    <t>Evento</t>
  </si>
  <si>
    <t>1</t>
  </si>
  <si>
    <t>Resultado / Comportamiento esperado</t>
  </si>
  <si>
    <t>SCRUM-14 / Sprint 2</t>
  </si>
  <si>
    <t>Plan de proyecto Ágil</t>
  </si>
  <si>
    <t>Seguridad y aseguramiento de calidad del backend</t>
  </si>
  <si>
    <t>Como equipo queremos asegurar autenticación y automatizar las pruebas para entregar una API verificable.</t>
  </si>
  <si>
    <t>SCRUM-15</t>
  </si>
  <si>
    <t>Registro y login de usuarios — Luis Calderon — Finalizado</t>
  </si>
  <si>
    <t>Como desarrollador</t>
  </si>
  <si>
    <t>SCRUM-16</t>
  </si>
  <si>
    <t>Middleware JWT y autorización por roles — Luis Calderon — Finalizado</t>
  </si>
  <si>
    <t>SCRUM-17</t>
  </si>
  <si>
    <t>Pruebas unitarias con Jest — Karen — Finalizado</t>
  </si>
  <si>
    <t>Necesito crear el servidor Express y la estructura por capas</t>
  </si>
  <si>
    <t>SCRUM-18</t>
  </si>
  <si>
    <t>Pruebas de integración — Marlon Viveros — Finalizado</t>
  </si>
  <si>
    <t>Como personal de cafetería</t>
  </si>
  <si>
    <t>Para disponer de la base del backend</t>
  </si>
  <si>
    <t>Necesito crear un pedido con productos y cantidades</t>
  </si>
  <si>
    <t>SCRUM-19</t>
  </si>
  <si>
    <t>Colección Postman automatizada — Karen — Finalizado</t>
  </si>
  <si>
    <t>SCRUM-20</t>
  </si>
  <si>
    <t>Arranque del servidor</t>
  </si>
  <si>
    <t>Carga y seguridad con JMeter — Marlon Viveros — Finalizado</t>
  </si>
  <si>
    <t>SCRUM-21</t>
  </si>
  <si>
    <t>Para registrar la venta y calcular su total</t>
  </si>
  <si>
    <t>Integración continua GitHub Actions — Esteban Ceron — Finalizado</t>
  </si>
  <si>
    <t>CA-01</t>
  </si>
  <si>
    <t>Servidor base</t>
  </si>
  <si>
    <t>Registro de pedido</t>
  </si>
  <si>
    <t>Dependencias instaladas y entorno configurado</t>
  </si>
  <si>
    <t>Se ejecuta npm start</t>
  </si>
  <si>
    <t>Express inicia en el puerto configurado cuando MongoDB conecta.</t>
  </si>
  <si>
    <t>CA-02</t>
  </si>
  <si>
    <t>Organización</t>
  </si>
  <si>
    <t>Creación exitosa</t>
  </si>
  <si>
    <t>Repositorio del proyecto</t>
  </si>
  <si>
    <t>Se revisa src</t>
  </si>
  <si>
    <t>Productos existentes y disponibles; cantidades enteras positivas</t>
  </si>
  <si>
    <t>Existen app.js, server.js y carpetas routes, controllers, services y models.</t>
  </si>
  <si>
    <t>Se envía un pedido válido</t>
  </si>
  <si>
    <t>201: pedido guardado en pendiente; precios copiados del catálogo y total calculado en servidor.</t>
  </si>
  <si>
    <t>CA-03</t>
  </si>
  <si>
    <t>Integración</t>
  </si>
  <si>
    <t>Cambios en rama del ticket</t>
  </si>
  <si>
    <t>Se revisa el PR</t>
  </si>
  <si>
    <t>PR #2 integrado en main tras revisión del Scrum Master.</t>
  </si>
  <si>
    <t>Datos inválidos</t>
  </si>
  <si>
    <t>Lista vacía, cantidad inválida o producto inexistente/no disponible</t>
  </si>
  <si>
    <t>Se intenta crear el pedido</t>
  </si>
  <si>
    <t>400: error claro y ningún pedido guardado.</t>
  </si>
  <si>
    <t>Fallo de persistencia</t>
  </si>
  <si>
    <t>MongoDB no está disponible</t>
  </si>
  <si>
    <t>Se intenta guardar el pedido</t>
  </si>
  <si>
    <t>503: error genérico sin credenciales ni detalles internos.</t>
  </si>
  <si>
    <t>Necesito conectar MongoDB Atlas mediante variables de entorno</t>
  </si>
  <si>
    <t>Para preparar la persistencia y proteger credenciales</t>
  </si>
  <si>
    <t>Conexión a la base</t>
  </si>
  <si>
    <t>Conexión exitosa</t>
  </si>
  <si>
    <t>URI válida e IP del equipo autorizada</t>
  </si>
  <si>
    <t>Mongoose conecta antes de iniciar Express.</t>
  </si>
  <si>
    <t>Nombre del proyecto</t>
  </si>
  <si>
    <t>Variable ausente o conexión fallida</t>
  </si>
  <si>
    <t>Falta MONGODB_URI o Atlas no conecta</t>
  </si>
  <si>
    <t>Se muestra error seguro y el proceso termina; Express no inicia.</t>
  </si>
  <si>
    <t>Necesito listar pedidos pendientes</t>
  </si>
  <si>
    <t>Para priorizar la preparación</t>
  </si>
  <si>
    <t>Secretos fuera de Git</t>
  </si>
  <si>
    <t>Configuración local del equipo</t>
  </si>
  <si>
    <t>Se revisan los archivos versionados</t>
  </si>
  <si>
    <t>Se incluye .env.example; .env y node_modules quedan ignorados.</t>
  </si>
  <si>
    <t>Consulta de pendientes</t>
  </si>
  <si>
    <t>Lider del proyecto</t>
  </si>
  <si>
    <t>Marlon Viveros — Scrum Master</t>
  </si>
  <si>
    <t>Listado exitoso</t>
  </si>
  <si>
    <t>Hay pedidos en estado pendiente</t>
  </si>
  <si>
    <t>Se solicita la lista</t>
  </si>
  <si>
    <t>200: solo pendientes, del más antiguo al más reciente.</t>
  </si>
  <si>
    <t>Entregable del proyecto</t>
  </si>
  <si>
    <t>Backend Express por capas, MongoDB Atlas, Jira y GitHub</t>
  </si>
  <si>
    <t>Sin pendientes</t>
  </si>
  <si>
    <t>No hay pedidos pendientes</t>
  </si>
  <si>
    <t>200: lista vacía, sin tratarla como error.</t>
  </si>
  <si>
    <t>Necesito un endpoint de salud</t>
  </si>
  <si>
    <t>Para comprobar el servidor y la conexión</t>
  </si>
  <si>
    <t>Consulta del estado del backend</t>
  </si>
  <si>
    <t>Servicio disponible</t>
  </si>
  <si>
    <t>Servidor en ejecución y BD conectada</t>
  </si>
  <si>
    <t>Se solicita GET /health (ruta propuesta)</t>
  </si>
  <si>
    <t>200: estado disponible, sin datos sensibles.</t>
  </si>
  <si>
    <t>Fallo de consulta</t>
  </si>
  <si>
    <t>La base de datos no está disponible</t>
  </si>
  <si>
    <t>Se consulta la lista</t>
  </si>
  <si>
    <t>503: mensaje seguro sin información interna.</t>
  </si>
  <si>
    <t>Base desconectada</t>
  </si>
  <si>
    <t>Servidor activo y BD desconectada</t>
  </si>
  <si>
    <t>Se solicita el estado</t>
  </si>
  <si>
    <t>503: estado no disponible.</t>
  </si>
  <si>
    <t>Separación por capas</t>
  </si>
  <si>
    <t>Implementación del endpoint</t>
  </si>
  <si>
    <t>Se revisa el código y se prueba</t>
  </si>
  <si>
    <t>Ruta, controlador y servicio separados; PR revisado e integrado.</t>
  </si>
  <si>
    <t>Fecha de inicio</t>
  </si>
  <si>
    <t>Por confirmar</t>
  </si>
  <si>
    <t>Fecha final</t>
  </si>
  <si>
    <t>Necesito actualizar el estado de un pedido</t>
  </si>
  <si>
    <t>Para registrar su preparación y entrega</t>
  </si>
  <si>
    <t>Avance Sprint 1 (tickets)</t>
  </si>
  <si>
    <t>Tareas técnicas de la épica (planificación; no son tickets Jira creados)</t>
  </si>
  <si>
    <t>Cambio de estado</t>
  </si>
  <si>
    <t>Transición válida</t>
  </si>
  <si>
    <t>Pedido existente; siguiente estado permitido</t>
  </si>
  <si>
    <t>Se solicita el siguiente estado</t>
  </si>
  <si>
    <t>200: pendiente → en preparación → listo → entregado, de un paso en un paso.</t>
  </si>
  <si>
    <t>Historia</t>
  </si>
  <si>
    <t>Tareas técnicas</t>
  </si>
  <si>
    <t>Responsable</t>
  </si>
  <si>
    <t>Sprint</t>
  </si>
  <si>
    <t>Estado</t>
  </si>
  <si>
    <t>Estimación</t>
  </si>
  <si>
    <t>Dependencia</t>
  </si>
  <si>
    <t>Definición de terminado</t>
  </si>
  <si>
    <t>Evidencia</t>
  </si>
  <si>
    <t>Observación</t>
  </si>
  <si>
    <t>Transición inválida</t>
  </si>
  <si>
    <t>Se intenta saltar, retroceder o enviar un estado inválido</t>
  </si>
  <si>
    <t>Se solicita actualizar</t>
  </si>
  <si>
    <t>400: pedido sin cambios y error explicativo.</t>
  </si>
  <si>
    <t>Crear package.json; instalar Express; configurar JSON en app.js; crear server.js y carpetas; verificar arranque; commit y PR.</t>
  </si>
  <si>
    <t>Marlon Viveros</t>
  </si>
  <si>
    <t>Sprint 1</t>
  </si>
  <si>
    <t>Finalizado</t>
  </si>
  <si>
    <t>Por estimar</t>
  </si>
  <si>
    <t>Node.js y npm</t>
  </si>
  <si>
    <t>Identificador inválido o inexistente</t>
  </si>
  <si>
    <t>Criterios verificados, PR aprobado e integrado</t>
  </si>
  <si>
    <t>ID mal formado o pedido no encontrado</t>
  </si>
  <si>
    <t>PR #2; código en main</t>
  </si>
  <si>
    <t>Reportado completado</t>
  </si>
  <si>
    <t>400 para ID inválido; 404 para pedido inexistente.</t>
  </si>
  <si>
    <t>Crear cluster y usuario; autorizar IP; instalar Mongoose/dotenv; configurar database.js y .env.example; esperar conexión; resolver DNS SRV usando URI estándar; verificar y PR.</t>
  </si>
  <si>
    <t>Esteban Ceron (apoyo de Marlon)</t>
  </si>
  <si>
    <t>SCRUM-11; Atlas y acceso de red</t>
  </si>
  <si>
    <t>Nombre de la tarea</t>
  </si>
  <si>
    <t>PR #3; conexión reportada funcionando en ambos PC</t>
  </si>
  <si>
    <t>No se incluyen credenciales</t>
  </si>
  <si>
    <t>Días</t>
  </si>
  <si>
    <t>Necesito consultar el detalle de un pedido</t>
  </si>
  <si>
    <t>Para revisar productos, cantidades, total y estado</t>
  </si>
  <si>
    <t>Consulta por identificador</t>
  </si>
  <si>
    <t>Detalle exitoso</t>
  </si>
  <si>
    <t>Pedido existente</t>
  </si>
  <si>
    <t>Se solicita su detalle</t>
  </si>
  <si>
    <t>200: ítems, cantidades, precios almacenados, total y estado.</t>
  </si>
  <si>
    <t>ID inválido o pedido inexistente</t>
  </si>
  <si>
    <t>ID mal formado o no registrado</t>
  </si>
  <si>
    <t>Se solicita el detalle</t>
  </si>
  <si>
    <t>Precios históricos conservados</t>
  </si>
  <si>
    <t>El precio del catálogo cambió después de crear el pedido</t>
  </si>
  <si>
    <t>Se consulta el pedido previo</t>
  </si>
  <si>
    <t>Se muestran los precios y total guardados al crearlo.</t>
  </si>
  <si>
    <t>Sprint 1: configuración inicial</t>
  </si>
  <si>
    <t>Crear health.routes.js, health.controller.js y health.service.js; montar ruta en app.js; consultar estado de Mongoose; verificar 200/503; abrir PR.</t>
  </si>
  <si>
    <t>Luis Calderon</t>
  </si>
  <si>
    <t>Equipo</t>
  </si>
  <si>
    <t>SCRUM-11 y SCRUM-12</t>
  </si>
  <si>
    <t>Pendiente</t>
  </si>
  <si>
    <t>Endpoint planificado, todavía no implementado</t>
  </si>
  <si>
    <t>SCRUM-11: servidor Express y carpetas</t>
  </si>
  <si>
    <t>SCRUM-12: Atlas y variables de entorno</t>
  </si>
  <si>
    <t>SPRINT 2 — Autenticación, Pruebas Backend y CI</t>
  </si>
  <si>
    <t>Épica SCRUM-14 | Código integrado; pendientes de entrega indicados abajo. Fechas del sprint: por confirmar.</t>
  </si>
  <si>
    <t>Ticket</t>
  </si>
  <si>
    <t>Historia / tarea</t>
  </si>
  <si>
    <t>Estado técnico</t>
  </si>
  <si>
    <t>Criterios de aceptación</t>
  </si>
  <si>
    <t>Notas</t>
  </si>
  <si>
    <t>Registro y login de usuarios</t>
  </si>
  <si>
    <t>Alta</t>
  </si>
  <si>
    <t>Registro validado; contraseña cifrada; login emite JWT; credenciales incorrectas rechazadas.</t>
  </si>
  <si>
    <t>https://github.com/Marlon1054xD/cafeflow-backend/pull/7</t>
  </si>
  <si>
    <t>Usuarios y autenticación</t>
  </si>
  <si>
    <t>Middleware JWT y autorización por roles</t>
  </si>
  <si>
    <t>Token válido permite acceso; sin token 401; cliente sin permisos 403; no exponer contraseña.</t>
  </si>
  <si>
    <t>Depende de SCRUM-15</t>
  </si>
  <si>
    <t>Pruebas unitarias con Jest</t>
  </si>
  <si>
    <t>Karen</t>
  </si>
  <si>
    <t>Mínimo 10 casos unitarios; comprobar lógica y errores; adjuntar salida y cobertura.</t>
  </si>
  <si>
    <t>https://github.com/Marlon1054xD/cafeflow-backend/pull/8</t>
  </si>
  <si>
    <t>Jest: evidencia en CI</t>
  </si>
  <si>
    <t>Pruebas de integración</t>
  </si>
  <si>
    <t>10 casos contra MongoDB aprobados; integración incremental y flujos de autenticación/usuarios.</t>
  </si>
  <si>
    <t>https://github.com/Marlon1054xD/cafeflow-backend/pull/6</t>
  </si>
  <si>
    <t>Top-down y pruebas contra BD aislada</t>
  </si>
  <si>
    <t>Colección Postman automatizada</t>
  </si>
  <si>
    <t>Validar estados, JSON, tokens y permisos; colección ejecutable con Newman y entorno de ejemplo.</t>
  </si>
  <si>
    <t>URL pública publicada: enlace por registrar</t>
  </si>
  <si>
    <t>SCRUM-13: endpoint de salud</t>
  </si>
  <si>
    <t>Carga y seguridad con JMeter</t>
  </si>
  <si>
    <t>Autenticación y al menos 5 rutas privadas con JWT; guardar JMX, resultados y reporte HTML.</t>
  </si>
  <si>
    <t>https://github.com/Marlon1054xD/cafeflow-backend/blob/main/docs/evidencias/jmeter-resumen.md</t>
  </si>
  <si>
    <t>Reporte: 42 muestras; 0 errores; carga breve</t>
  </si>
  <si>
    <t>Integración continua GitHub Actions</t>
  </si>
  <si>
    <t>Esteban Ceron</t>
  </si>
  <si>
    <t>Ejecutar Jest y Newman automáticamente; workflow exitoso y evidencias accesibles.</t>
  </si>
  <si>
    <t>https://github.com/Marlon1054xD/cafeflow-backend/actions/runs/40729338670</t>
  </si>
  <si>
    <t>Pipeline verificado en main</t>
  </si>
  <si>
    <t/>
  </si>
  <si>
    <t>ENTREGA DEL PARCIAL</t>
  </si>
  <si>
    <t>Evidencia / acción pendiente</t>
  </si>
  <si>
    <t>Pruebas unitarias</t>
  </si>
  <si>
    <t>Verificadas en CI</t>
  </si>
  <si>
    <t>Sprint 2: Autenticación, Pruebas Backend y CI</t>
  </si>
  <si>
    <t>Mínimo 10; salida Jest y cobertura.</t>
  </si>
  <si>
    <t>Integración con MongoDB</t>
  </si>
  <si>
    <t>Verificada localmente</t>
  </si>
  <si>
    <t>10 casos contra MongoDB aprobados; 7 pruebas adicionales de salud/URI.</t>
  </si>
  <si>
    <t>Postman público y entorno</t>
  </si>
  <si>
    <t>Enlace por registrar</t>
  </si>
  <si>
    <t>Usuario confirmó publicación; agregar URL pública. Compartir entorno de ejemplo sin secretos.</t>
  </si>
  <si>
    <t>JMeter</t>
  </si>
  <si>
    <t>Reporte disponible</t>
  </si>
  <si>
    <t>En progreso</t>
  </si>
  <si>
    <t>Rutas y endpoints</t>
  </si>
  <si>
    <t>Documento disponible</t>
  </si>
  <si>
    <t>https://github.com/Marlon1054xD/cafeflow-backend/blob/main/docs/rutas-api.md</t>
  </si>
  <si>
    <t>Jira</t>
  </si>
  <si>
    <t>Actualizado según equipo</t>
  </si>
  <si>
    <t>https://nightowlsxd.atlassian.net/jira/software/projects/SCRUM/boards/1</t>
  </si>
  <si>
    <t>SCRUM-15: Registro y login de usuarios</t>
  </si>
  <si>
    <t>SCRUM</t>
  </si>
  <si>
    <t>Actualizado</t>
  </si>
  <si>
    <t>Esta plantilla; descargar versión final y alojarla también en GitHub.</t>
  </si>
  <si>
    <t>Video máximo 3 minutos</t>
  </si>
  <si>
    <t>Mostrar SCRUM, rutas, Actions, Jira, pruebas, JMeter y Postman.</t>
  </si>
  <si>
    <t>Guía de entrega</t>
  </si>
  <si>
    <t>Disponible</t>
  </si>
  <si>
    <t>SCRUM-16: Middleware JWT y autorización por roles</t>
  </si>
  <si>
    <t>https://github.com/Marlon1054xD/cafeflow-backend/blob/main/docs/entrega-parcial.md</t>
  </si>
  <si>
    <t>Modelo de pedido e ítems; validar catálogo y cantidades; copiar precios; calcular total; crear ruta/controller/service; verificar éxito y errores; abrir PR.</t>
  </si>
  <si>
    <t>SCRUM-17: Pruebas unitarias con Jest</t>
  </si>
  <si>
    <t>Por asignar</t>
  </si>
  <si>
    <t>Por planificar</t>
  </si>
  <si>
    <t>Sin empezar</t>
  </si>
  <si>
    <t>Servidor y MongoDB; catálogo para crear pedidos</t>
  </si>
  <si>
    <t>Requerimiento futuro</t>
  </si>
  <si>
    <t>Consulta por estado; ordenar por fecha; crear ruta/controller/service; verificar lista vacía y fallos; abrir PR.</t>
  </si>
  <si>
    <t>SCRUM-18: Pruebas de integración</t>
  </si>
  <si>
    <t>Definir estados y transiciones; validar ID; actualización consistente; crear ruta/controller/service; verificar transiciones, faltantes y error de BD; abrir PR.</t>
  </si>
  <si>
    <t>Validar ID; consultar documento; devolver precios almacenados; crear ruta/controller/service; verificar 400/404 y precios históricos; abrir PR.</t>
  </si>
  <si>
    <t>SCRUM-19: Colección Postman automatizada</t>
  </si>
  <si>
    <t>SCRUM-20: Carga y seguridad con JMeter</t>
  </si>
  <si>
    <t>SCRUM-21: Integración continua GitHub Actions</t>
  </si>
  <si>
    <t>Sprint 3: React y automatización UI</t>
  </si>
  <si>
    <t>Próximo corte: React, Jest de componentes, Selenium POM y regresión</t>
  </si>
  <si>
    <t>Sprint 4: Despliegue y documentación final</t>
  </si>
  <si>
    <t>Próximo corte: UAT, smoke, sanity, defectos y rollback</t>
  </si>
  <si>
    <t>Estados</t>
  </si>
  <si>
    <t>Cronograma por Sprint:</t>
  </si>
  <si>
    <t>En Progreso</t>
  </si>
  <si>
    <t>Vencido</t>
  </si>
  <si>
    <t>Fechas de inicio y cierre: pendientes de confirmar con el equipo. No se inventaron fechas reales.</t>
  </si>
  <si>
    <t>Sin Empezar</t>
  </si>
  <si>
    <t>Sprint 2: código integrado; cierre académico sujeto a documentación y video.</t>
  </si>
  <si>
    <t>Sprint 1: 3 de 3 tickets técnicos finalizados.</t>
  </si>
  <si>
    <t>SCRUM-11: PR #2 integrado en main.</t>
  </si>
  <si>
    <t>SCRUM-12: PR #3 integrado en main; conexión reportada funcionando en ambos equipos.</t>
  </si>
  <si>
    <t>SCRUM-13: finalizado e integrado (PR #5).</t>
  </si>
  <si>
    <t>Jira: https://nightowlsxd.atlassian.net</t>
  </si>
  <si>
    <t>GitHub: https://github.com/Marlon1054xD/cafeflow-backend</t>
  </si>
  <si>
    <t>Regla: rama con ticket → commit → PR → revisión del Scrum Master → main.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</si>
</sst>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33">
    <font>
      <sz val="12.0"/>
      <color theme="1"/>
      <name val="Calibri"/>
      <scheme val="minor"/>
    </font>
    <font>
      <sz val="12.0"/>
      <color rgb="FF000000"/>
      <name val="Arial"/>
    </font>
    <font/>
    <font>
      <b/>
      <sz val="16.0"/>
      <color theme="0"/>
      <name val="Arial"/>
    </font>
    <font>
      <sz val="11.0"/>
      <color rgb="FFFFFFFF"/>
      <name val="Calibri"/>
    </font>
    <font>
      <sz val="10.0"/>
      <color theme="1"/>
      <name val="Arial"/>
    </font>
    <font>
      <sz val="20.0"/>
      <color rgb="FF000000"/>
      <name val="Arial"/>
    </font>
    <font>
      <sz val="10.0"/>
      <color rgb="FF000000"/>
      <name val="Calibri"/>
    </font>
    <font>
      <u/>
      <sz val="12.0"/>
      <color theme="10"/>
      <name val="Calibri"/>
    </font>
    <font>
      <sz val="12.0"/>
      <color rgb="FF000000"/>
      <name val="Calibri"/>
    </font>
    <font>
      <b/>
      <sz val="16.0"/>
      <color theme="1"/>
      <name val="Arial"/>
    </font>
    <font>
      <u/>
      <sz val="18.0"/>
      <color theme="0"/>
      <name val="Calibri"/>
    </font>
    <font>
      <u/>
      <sz val="10.0"/>
      <color rgb="FF0000FF"/>
      <name val="Arial"/>
    </font>
    <font>
      <u/>
      <sz val="20.0"/>
      <color theme="0"/>
      <name val="Calibri"/>
    </font>
    <font>
      <sz val="12.0"/>
      <color theme="1"/>
      <name val="Calibri"/>
    </font>
    <font>
      <u/>
      <sz val="12.0"/>
      <color rgb="FF0000FF"/>
      <name val="Calibri"/>
    </font>
    <font>
      <sz val="12.0"/>
      <color theme="1"/>
      <name val="Arial"/>
    </font>
    <font>
      <sz val="16.0"/>
      <color theme="1"/>
      <name val="Calibri"/>
    </font>
    <font>
      <color theme="1"/>
      <name val="Calibri"/>
      <scheme val="minor"/>
    </font>
    <font>
      <sz val="10.0"/>
      <color rgb="FF1155CC"/>
      <name val="Arial"/>
    </font>
    <font>
      <sz val="10.0"/>
      <color rgb="FF000000"/>
      <name val="Arial"/>
    </font>
    <font>
      <b/>
      <i/>
      <sz val="10.0"/>
      <color theme="1"/>
      <name val="Arial"/>
    </font>
    <font>
      <b/>
      <sz val="14.0"/>
      <color theme="1"/>
      <name val="Calibri"/>
    </font>
    <font>
      <sz val="14.0"/>
      <color theme="1"/>
      <name val="Calibri"/>
    </font>
    <font>
      <b/>
      <sz val="10.0"/>
      <color rgb="FF000000"/>
      <name val="Calibri"/>
    </font>
    <font>
      <sz val="14.0"/>
      <color theme="0"/>
      <name val="Calibri"/>
    </font>
    <font>
      <sz val="14.0"/>
      <color rgb="FF000000"/>
      <name val="Calibri"/>
    </font>
    <font>
      <b/>
      <sz val="16.0"/>
      <color rgb="FFFFFFFF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0.0"/>
      <color theme="1"/>
      <name val="Arial"/>
    </font>
    <font>
      <b/>
      <sz val="10.0"/>
      <color theme="1"/>
      <name val="Calibri"/>
    </font>
    <font>
      <b/>
      <sz val="12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17365D"/>
        <bgColor rgb="FF17365D"/>
      </patternFill>
    </fill>
    <fill>
      <patternFill patternType="solid">
        <fgColor rgb="FFC6D9F0"/>
        <bgColor rgb="FFC6D9F0"/>
      </patternFill>
    </fill>
    <fill>
      <patternFill patternType="solid">
        <fgColor theme="6"/>
        <bgColor theme="6"/>
      </patternFill>
    </fill>
    <fill>
      <patternFill patternType="solid">
        <fgColor rgb="FFE36C09"/>
        <bgColor rgb="FFE36C09"/>
      </patternFill>
    </fill>
    <fill>
      <patternFill patternType="solid">
        <fgColor rgb="FFFDE49A"/>
        <bgColor rgb="FFFDE49A"/>
      </patternFill>
    </fill>
    <fill>
      <patternFill patternType="solid">
        <fgColor rgb="FFE5B8B7"/>
        <bgColor rgb="FFE5B8B7"/>
      </patternFill>
    </fill>
    <fill>
      <patternFill patternType="solid">
        <fgColor rgb="FF8DB3E2"/>
        <bgColor rgb="FF8DB3E2"/>
      </patternFill>
    </fill>
    <fill>
      <patternFill patternType="solid">
        <fgColor rgb="FF0F243E"/>
        <bgColor rgb="FF0F243E"/>
      </patternFill>
    </fill>
    <fill>
      <patternFill patternType="solid">
        <fgColor rgb="FF1E477C"/>
        <bgColor rgb="FF1E477C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</fills>
  <borders count="31">
    <border/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/>
      <top/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4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center" shrinkToFit="0" vertical="center" wrapText="1"/>
    </xf>
    <xf borderId="8" fillId="5" fontId="5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0" fillId="0" fontId="6" numFmtId="0" xfId="0" applyAlignment="1" applyFont="1">
      <alignment horizontal="center" shrinkToFit="0" vertical="center" wrapText="1"/>
    </xf>
    <xf borderId="0" fillId="0" fontId="7" numFmtId="0" xfId="0" applyFont="1"/>
    <xf borderId="8" fillId="5" fontId="8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8" fillId="5" fontId="9" numFmtId="0" xfId="0" applyAlignment="1" applyBorder="1" applyFill="1" applyFont="1">
      <alignment horizontal="center" shrinkToFit="0" vertical="center" wrapText="1"/>
    </xf>
    <xf borderId="9" fillId="6" fontId="10" numFmtId="0" xfId="0" applyAlignment="1" applyBorder="1" applyFill="1" applyFont="1">
      <alignment horizontal="center" vertical="center"/>
    </xf>
    <xf borderId="7" fillId="5" fontId="9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12" fillId="0" fontId="2" numFmtId="0" xfId="0" applyBorder="1" applyFont="1"/>
    <xf borderId="11" fillId="0" fontId="2" numFmtId="0" xfId="0" applyBorder="1" applyFont="1"/>
    <xf borderId="14" fillId="0" fontId="2" numFmtId="0" xfId="0" applyBorder="1" applyFont="1"/>
    <xf borderId="7" fillId="4" fontId="5" numFmtId="0" xfId="0" applyAlignment="1" applyBorder="1" applyFill="1" applyFont="1">
      <alignment horizontal="center" shrinkToFit="0" vertical="center" wrapText="1"/>
    </xf>
    <xf borderId="13" fillId="7" fontId="11" numFmtId="0" xfId="0" applyAlignment="1" applyBorder="1" applyFill="1" applyFont="1">
      <alignment horizontal="center" vertical="center"/>
    </xf>
    <xf borderId="8" fillId="8" fontId="5" numFmtId="0" xfId="0" applyAlignment="1" applyBorder="1" applyFill="1" applyFont="1">
      <alignment horizontal="center" shrinkToFit="0" vertical="center" wrapText="1"/>
    </xf>
    <xf borderId="8" fillId="8" fontId="12" numFmtId="0" xfId="0" applyAlignment="1" applyBorder="1" applyFill="1" applyFont="1">
      <alignment horizontal="center" shrinkToFit="0" vertical="center" wrapText="1"/>
    </xf>
    <xf borderId="8" fillId="8" fontId="9" numFmtId="0" xfId="0" applyAlignment="1" applyBorder="1" applyFill="1" applyFont="1">
      <alignment horizontal="center" shrinkToFit="0" vertical="center" wrapText="1"/>
    </xf>
    <xf borderId="13" fillId="7" fontId="13" numFmtId="0" xfId="0" applyAlignment="1" applyBorder="1" applyFill="1" applyFont="1">
      <alignment horizontal="center" vertical="center"/>
    </xf>
    <xf borderId="7" fillId="8" fontId="9" numFmtId="0" xfId="0" applyAlignment="1" applyBorder="1" applyFill="1" applyFont="1">
      <alignment horizontal="center" shrinkToFit="0" vertical="center" wrapText="1"/>
    </xf>
    <xf borderId="7" fillId="8" fontId="9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8" fillId="3" fontId="4" numFmtId="0" xfId="0" applyAlignment="1" applyBorder="1" applyFill="1" applyFont="1">
      <alignment horizontal="center" shrinkToFit="0" vertical="center" wrapText="1"/>
    </xf>
    <xf borderId="4" fillId="9" fontId="5" numFmtId="0" xfId="0" applyAlignment="1" applyBorder="1" applyFill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7" fillId="3" fontId="4" numFmtId="0" xfId="0" applyAlignment="1" applyBorder="1" applyFill="1" applyFont="1">
      <alignment horizontal="center" shrinkToFit="0" vertical="center" wrapText="1"/>
    </xf>
    <xf borderId="15" fillId="5" fontId="5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quotePrefix="1" borderId="11" fillId="0" fontId="14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vertical="center"/>
    </xf>
    <xf borderId="7" fillId="4" fontId="5" numFmtId="0" xfId="0" applyBorder="1" applyFill="1" applyFont="1"/>
    <xf borderId="11" fillId="0" fontId="15" numFmtId="0" xfId="0" applyAlignment="1" applyBorder="1" applyFont="1">
      <alignment shrinkToFit="0" wrapText="1"/>
    </xf>
    <xf borderId="11" fillId="0" fontId="14" numFmtId="0" xfId="0" applyAlignment="1" applyBorder="1" applyFont="1">
      <alignment readingOrder="0" shrinkToFit="0" wrapText="1"/>
    </xf>
    <xf borderId="7" fillId="5" fontId="9" numFmtId="0" xfId="0" applyAlignment="1" applyBorder="1" applyFill="1" applyFont="1">
      <alignment horizontal="center" readingOrder="0" shrinkToFit="0" vertical="center" wrapText="1"/>
    </xf>
    <xf borderId="8" fillId="8" fontId="16" numFmtId="0" xfId="0" applyAlignment="1" applyBorder="1" applyFill="1" applyFont="1">
      <alignment horizontal="center" shrinkToFit="0" vertical="top" wrapText="1"/>
    </xf>
    <xf borderId="7" fillId="5" fontId="14" numFmtId="0" xfId="0" applyAlignment="1" applyBorder="1" applyFill="1" applyFont="1">
      <alignment horizontal="center" readingOrder="0" shrinkToFit="0" vertical="center" wrapText="1"/>
    </xf>
    <xf borderId="21" fillId="10" fontId="17" numFmtId="0" xfId="0" applyAlignment="1" applyBorder="1" applyFill="1" applyFont="1">
      <alignment horizontal="center" vertical="center"/>
    </xf>
    <xf borderId="11" fillId="0" fontId="14" numFmtId="0" xfId="0" applyAlignment="1" applyBorder="1" applyFont="1">
      <alignment shrinkToFit="0" wrapText="1"/>
    </xf>
    <xf borderId="22" fillId="0" fontId="2" numFmtId="0" xfId="0" applyBorder="1" applyFont="1"/>
    <xf borderId="23" fillId="0" fontId="2" numFmtId="0" xfId="0" applyBorder="1" applyFont="1"/>
    <xf borderId="13" fillId="10" fontId="14" numFmtId="0" xfId="0" applyBorder="1" applyFill="1" applyFont="1"/>
    <xf borderId="8" fillId="8" fontId="14" numFmtId="0" xfId="0" applyAlignment="1" applyBorder="1" applyFill="1" applyFont="1">
      <alignment horizontal="center" shrinkToFit="0" vertical="top" wrapText="1"/>
    </xf>
    <xf borderId="14" fillId="0" fontId="14" numFmtId="0" xfId="0" applyAlignment="1" applyBorder="1" applyFont="1">
      <alignment shrinkToFit="0" wrapText="1"/>
    </xf>
    <xf borderId="8" fillId="8" fontId="9" numFmtId="0" xfId="0" applyAlignment="1" applyBorder="1" applyFill="1" applyFont="1">
      <alignment horizontal="center" shrinkToFit="0" vertical="top" wrapText="1"/>
    </xf>
    <xf borderId="0" fillId="0" fontId="18" numFmtId="0" xfId="0" applyAlignment="1" applyFont="1">
      <alignment readingOrder="0"/>
    </xf>
    <xf borderId="24" fillId="0" fontId="2" numFmtId="0" xfId="0" applyBorder="1" applyFont="1"/>
    <xf borderId="25" fillId="0" fontId="2" numFmtId="0" xfId="0" applyBorder="1" applyFont="1"/>
    <xf borderId="7" fillId="8" fontId="9" numFmtId="0" xfId="0" applyAlignment="1" applyBorder="1" applyFill="1" applyFont="1">
      <alignment horizontal="center" shrinkToFit="0" vertical="top" wrapText="1"/>
    </xf>
    <xf borderId="26" fillId="0" fontId="2" numFmtId="0" xfId="0" applyBorder="1" applyFont="1"/>
    <xf borderId="0" fillId="0" fontId="9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20" numFmtId="0" xfId="0" applyAlignment="1" applyFont="1">
      <alignment shrinkToFit="0" wrapText="1"/>
    </xf>
    <xf borderId="27" fillId="0" fontId="2" numFmtId="0" xfId="0" applyBorder="1" applyFont="1"/>
    <xf borderId="28" fillId="0" fontId="2" numFmtId="0" xfId="0" applyBorder="1" applyFont="1"/>
    <xf borderId="7" fillId="4" fontId="5" numFmtId="0" xfId="0" applyAlignment="1" applyBorder="1" applyFill="1" applyFont="1">
      <alignment horizontal="center" shrinkToFit="0" vertical="top" wrapText="1"/>
    </xf>
    <xf borderId="0" fillId="0" fontId="21" numFmtId="0" xfId="0" applyAlignment="1" applyFont="1">
      <alignment horizontal="center" shrinkToFit="0" vertical="center" wrapText="1"/>
    </xf>
    <xf borderId="13" fillId="2" fontId="14" numFmtId="0" xfId="0" applyBorder="1" applyFill="1" applyFont="1"/>
    <xf borderId="0" fillId="0" fontId="7" numFmtId="0" xfId="0" applyAlignment="1" applyFont="1">
      <alignment shrinkToFit="0" vertical="top" wrapText="1"/>
    </xf>
    <xf borderId="13" fillId="2" fontId="22" numFmtId="0" xfId="0" applyBorder="1" applyFill="1" applyFont="1"/>
    <xf borderId="29" fillId="2" fontId="23" numFmtId="0" xfId="0" applyAlignment="1" applyBorder="1" applyFill="1" applyFont="1">
      <alignment horizontal="right"/>
    </xf>
    <xf borderId="29" fillId="2" fontId="23" numFmtId="0" xfId="0" applyAlignment="1" applyBorder="1" applyFill="1" applyFont="1">
      <alignment shrinkToFit="0" wrapText="1"/>
    </xf>
    <xf borderId="29" fillId="2" fontId="23" numFmtId="0" xfId="0" applyBorder="1" applyFill="1" applyFont="1"/>
    <xf borderId="29" fillId="2" fontId="23" numFmtId="16" xfId="0" applyBorder="1" applyFill="1" applyFont="1" applyNumberFormat="1"/>
    <xf borderId="0" fillId="0" fontId="7" numFmtId="0" xfId="0" applyAlignment="1" applyFont="1">
      <alignment shrinkToFit="0" wrapText="1"/>
    </xf>
    <xf borderId="0" fillId="0" fontId="2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29" fillId="2" fontId="23" numFmtId="9" xfId="0" applyBorder="1" applyFill="1" applyFont="1" applyNumberFormat="1"/>
    <xf borderId="7" fillId="11" fontId="25" numFmtId="0" xfId="0" applyAlignment="1" applyBorder="1" applyFill="1" applyFont="1">
      <alignment horizontal="center" shrinkToFit="0" vertical="center" wrapText="1"/>
    </xf>
    <xf borderId="7" fillId="4" fontId="5" numFmtId="0" xfId="0" applyAlignment="1" applyBorder="1" applyFill="1" applyFont="1">
      <alignment horizontal="center" vertical="center"/>
    </xf>
    <xf borderId="7" fillId="10" fontId="26" numFmtId="0" xfId="0" applyAlignment="1" applyBorder="1" applyFill="1" applyFont="1">
      <alignment horizontal="center" shrinkToFit="0" vertical="center" wrapText="1"/>
    </xf>
    <xf borderId="7" fillId="10" fontId="26" numFmtId="164" xfId="0" applyAlignment="1" applyBorder="1" applyFill="1" applyFont="1" applyNumberFormat="1">
      <alignment horizontal="center" shrinkToFit="0" vertical="center" wrapText="1"/>
    </xf>
    <xf borderId="0" fillId="0" fontId="7" numFmtId="0" xfId="0" applyAlignment="1" applyFont="1">
      <alignment readingOrder="0" shrinkToFit="0" wrapText="1"/>
    </xf>
    <xf borderId="7" fillId="10" fontId="26" numFmtId="0" xfId="0" applyAlignment="1" applyBorder="1" applyFill="1" applyFont="1">
      <alignment horizontal="center" readingOrder="0" shrinkToFit="0" vertical="center" wrapText="1"/>
    </xf>
    <xf borderId="7" fillId="2" fontId="9" numFmtId="0" xfId="0" applyAlignment="1" applyBorder="1" applyFill="1" applyFont="1">
      <alignment horizontal="center" shrinkToFit="0" vertical="center" wrapText="1"/>
    </xf>
    <xf borderId="7" fillId="2" fontId="9" numFmtId="164" xfId="0" applyAlignment="1" applyBorder="1" applyFill="1" applyFont="1" applyNumberFormat="1">
      <alignment horizontal="center" shrinkToFit="0" vertical="center" wrapText="1"/>
    </xf>
    <xf borderId="0" fillId="12" fontId="27" numFmtId="0" xfId="0" applyAlignment="1" applyFill="1" applyFont="1">
      <alignment shrinkToFit="0" vertical="top" wrapText="1"/>
    </xf>
    <xf borderId="0" fillId="0" fontId="28" numFmtId="0" xfId="0" applyAlignment="1" applyFont="1">
      <alignment shrinkToFit="0" vertical="top" wrapText="1"/>
    </xf>
    <xf borderId="0" fillId="12" fontId="29" numFmtId="0" xfId="0" applyAlignment="1" applyFill="1" applyFont="1">
      <alignment shrinkToFit="0" vertical="top" wrapText="1"/>
    </xf>
    <xf borderId="7" fillId="2" fontId="9" numFmtId="0" xfId="0" applyAlignment="1" applyBorder="1" applyFill="1" applyFont="1">
      <alignment horizontal="center" readingOrder="0" shrinkToFit="0" vertical="center" wrapText="1"/>
    </xf>
    <xf borderId="7" fillId="9" fontId="23" numFmtId="0" xfId="0" applyAlignment="1" applyBorder="1" applyFill="1" applyFont="1">
      <alignment horizontal="center" readingOrder="0" shrinkToFit="0" vertical="center" wrapText="1"/>
    </xf>
    <xf borderId="7" fillId="9" fontId="23" numFmtId="0" xfId="0" applyAlignment="1" applyBorder="1" applyFill="1" applyFont="1">
      <alignment horizontal="center" shrinkToFit="0" vertical="center" wrapText="1"/>
    </xf>
    <xf borderId="7" fillId="9" fontId="23" numFmtId="164" xfId="0" applyAlignment="1" applyBorder="1" applyFill="1" applyFont="1" applyNumberFormat="1">
      <alignment horizontal="center" shrinkToFit="0" vertical="center" wrapText="1"/>
    </xf>
    <xf borderId="7" fillId="2" fontId="14" numFmtId="0" xfId="0" applyAlignment="1" applyBorder="1" applyFill="1" applyFont="1">
      <alignment horizontal="center" readingOrder="0" shrinkToFit="0" vertical="center" wrapText="1"/>
    </xf>
    <xf borderId="7" fillId="2" fontId="14" numFmtId="0" xfId="0" applyAlignment="1" applyBorder="1" applyFill="1" applyFont="1">
      <alignment horizontal="center" shrinkToFit="0" vertical="center" wrapText="1"/>
    </xf>
    <xf borderId="13" fillId="2" fontId="5" numFmtId="0" xfId="0" applyAlignment="1" applyBorder="1" applyFill="1" applyFont="1">
      <alignment horizontal="center" vertical="center"/>
    </xf>
    <xf borderId="13" fillId="2" fontId="5" numFmtId="0" xfId="0" applyBorder="1" applyFill="1" applyFont="1"/>
    <xf borderId="13" fillId="2" fontId="9" numFmtId="0" xfId="0" applyAlignment="1" applyBorder="1" applyFill="1" applyFont="1">
      <alignment horizontal="center" vertical="center"/>
    </xf>
    <xf borderId="13" fillId="2" fontId="9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9" fillId="2" fontId="5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13" fillId="2" fontId="30" numFmtId="0" xfId="0" applyAlignment="1" applyBorder="1" applyFill="1" applyFont="1">
      <alignment horizontal="center" shrinkToFit="0" vertical="center" wrapText="1"/>
    </xf>
    <xf borderId="13" fillId="2" fontId="21" numFmtId="0" xfId="0" applyAlignment="1" applyBorder="1" applyFill="1" applyFont="1">
      <alignment horizontal="center" shrinkToFit="0" vertical="center" wrapText="1"/>
    </xf>
    <xf borderId="7" fillId="13" fontId="23" numFmtId="0" xfId="0" applyAlignment="1" applyBorder="1" applyFill="1" applyFont="1">
      <alignment horizontal="center" readingOrder="0" shrinkToFit="0" vertical="center" wrapText="1"/>
    </xf>
    <xf borderId="7" fillId="13" fontId="23" numFmtId="164" xfId="0" applyAlignment="1" applyBorder="1" applyFill="1" applyFont="1" applyNumberFormat="1">
      <alignment horizontal="center" shrinkToFit="0" vertical="center" wrapText="1"/>
    </xf>
    <xf borderId="7" fillId="13" fontId="23" numFmtId="0" xfId="0" applyAlignment="1" applyBorder="1" applyFill="1" applyFont="1">
      <alignment horizontal="center" shrinkToFit="0" vertical="center" wrapText="1"/>
    </xf>
    <xf borderId="7" fillId="2" fontId="14" numFmtId="164" xfId="0" applyAlignment="1" applyBorder="1" applyFill="1" applyFont="1" applyNumberFormat="1">
      <alignment horizontal="center" shrinkToFit="0" vertical="center" wrapText="1"/>
    </xf>
    <xf borderId="7" fillId="14" fontId="23" numFmtId="0" xfId="0" applyAlignment="1" applyBorder="1" applyFill="1" applyFont="1">
      <alignment horizontal="center" readingOrder="0" shrinkToFit="0" vertical="center" wrapText="1"/>
    </xf>
    <xf borderId="7" fillId="14" fontId="23" numFmtId="164" xfId="0" applyAlignment="1" applyBorder="1" applyFill="1" applyFont="1" applyNumberFormat="1">
      <alignment horizontal="center" shrinkToFit="0" vertical="center" wrapText="1"/>
    </xf>
    <xf borderId="7" fillId="14" fontId="23" numFmtId="0" xfId="0" applyAlignment="1" applyBorder="1" applyFill="1" applyFont="1">
      <alignment horizontal="center" shrinkToFit="0" vertical="center" wrapText="1"/>
    </xf>
    <xf borderId="8" fillId="6" fontId="14" numFmtId="0" xfId="0" applyAlignment="1" applyBorder="1" applyFill="1" applyFont="1">
      <alignment horizontal="center" vertical="center"/>
    </xf>
    <xf borderId="7" fillId="2" fontId="14" numFmtId="0" xfId="0" applyAlignment="1" applyBorder="1" applyFill="1" applyFont="1">
      <alignment horizontal="center" vertical="center"/>
    </xf>
    <xf borderId="30" fillId="0" fontId="31" numFmtId="0" xfId="0" applyAlignment="1" applyBorder="1" applyFont="1">
      <alignment horizontal="center" vertical="center"/>
    </xf>
    <xf borderId="30" fillId="0" fontId="2" numFmtId="0" xfId="0" applyBorder="1" applyFont="1"/>
    <xf borderId="30" fillId="0" fontId="14" numFmtId="0" xfId="0" applyAlignment="1" applyBorder="1" applyFont="1">
      <alignment horizontal="center" shrinkToFit="0" vertical="center" wrapText="1"/>
    </xf>
    <xf borderId="30" fillId="0" fontId="14" numFmtId="0" xfId="0" applyAlignment="1" applyBorder="1" applyFont="1">
      <alignment horizontal="center" readingOrder="0" shrinkToFit="0" vertical="center" wrapText="1"/>
    </xf>
    <xf borderId="30" fillId="0" fontId="32" numFmtId="0" xfId="0" applyAlignment="1" applyBorder="1" applyFont="1">
      <alignment horizontal="left" readingOrder="0" shrinkToFit="0" vertical="center" wrapText="1"/>
    </xf>
    <xf borderId="30" fillId="0" fontId="32" numFmtId="0" xfId="0" applyAlignment="1" applyBorder="1" applyFont="1">
      <alignment horizontal="center" shrinkToFit="0" vertical="center" wrapText="1"/>
    </xf>
    <xf borderId="30" fillId="0" fontId="3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756949837627953"/>
          <c:y val="0.07348311617248035"/>
          <c:w val="0.8516403791522462"/>
          <c:h val="0.8850760167570701"/>
        </c:manualLayout>
      </c:layout>
      <c:barChart>
        <c:barDir val="bar"/>
        <c:grouping val="stacked"/>
        <c:varyColors val="0"/>
        <c:ser>
          <c:idx val="0"/>
          <c:order val="0"/>
          <c:invertIfNegative val="0"/>
          <c:cat>
            <c:strRef>
              <c:f>CRONOGRAMA!$C$14:$C$29</c:f>
            </c:strRef>
          </c:cat>
          <c:val>
            <c:numRef>
              <c:f>CRONOGRAMA!$E$14:$E$29</c:f>
              <c:numCache/>
            </c:numRef>
          </c:val>
        </c:ser>
        <c:overlap val="100"/>
        <c:axId val="1603676584"/>
        <c:axId val="1917287291"/>
      </c:barChart>
      <c:catAx>
        <c:axId val="16036765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17287291"/>
      </c:catAx>
      <c:valAx>
        <c:axId val="1917287291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603676584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15</xdr:row>
      <xdr:rowOff>0</xdr:rowOff>
    </xdr:from>
    <xdr:ext cx="9534525" cy="3933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1.22" defaultRowHeight="15.0"/>
  <cols>
    <col customWidth="1" min="1" max="1" width="43.0"/>
    <col customWidth="1" min="2" max="2" width="40.0"/>
    <col customWidth="1" min="3" max="3" width="13.11"/>
    <col customWidth="1" min="4" max="4" width="12.67"/>
    <col customWidth="1" min="5" max="5" width="12.89"/>
    <col customWidth="1" min="6" max="6" width="14.67"/>
    <col customWidth="1" min="7" max="26" width="11.0"/>
  </cols>
  <sheetData>
    <row r="1" ht="15.75" customHeight="1">
      <c r="A1" s="50" t="s">
        <v>49</v>
      </c>
      <c r="B1" s="52"/>
      <c r="C1" s="52"/>
      <c r="D1" s="52"/>
      <c r="E1" s="52"/>
      <c r="F1" s="53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5.75" customHeight="1">
      <c r="A2" s="59"/>
      <c r="F2" s="60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5.75" customHeight="1">
      <c r="A3" s="62"/>
      <c r="B3" s="66"/>
      <c r="C3" s="66"/>
      <c r="D3" s="66"/>
      <c r="E3" s="66"/>
      <c r="F3" s="67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5.75" customHeight="1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ht="15.75" customHeight="1">
      <c r="A5" s="72" t="s">
        <v>107</v>
      </c>
      <c r="B5" s="73" t="s">
        <v>1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ht="15.75" customHeight="1">
      <c r="A6" s="72" t="s">
        <v>118</v>
      </c>
      <c r="B6" s="73" t="s">
        <v>119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ht="45.0" customHeight="1">
      <c r="A7" s="72" t="s">
        <v>124</v>
      </c>
      <c r="B7" s="74" t="s">
        <v>125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ht="15.75" customHeight="1">
      <c r="A8" s="72"/>
      <c r="B8" s="75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ht="15.75" customHeight="1">
      <c r="A9" s="72" t="s">
        <v>148</v>
      </c>
      <c r="B9" s="76" t="s">
        <v>149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ht="15.75" customHeight="1">
      <c r="A10" s="72" t="s">
        <v>150</v>
      </c>
      <c r="B10" s="76" t="s">
        <v>149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ht="15.75" customHeight="1">
      <c r="A11" s="72" t="s">
        <v>153</v>
      </c>
      <c r="B11" s="80">
        <f>COUNTIF(F15:F17,"Finalizado")/COUNTA(A15:A17)</f>
        <v>1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ht="21.0" customHeight="1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ht="49.5" customHeight="1">
      <c r="A13" s="81" t="s">
        <v>189</v>
      </c>
      <c r="B13" s="81" t="s">
        <v>162</v>
      </c>
      <c r="C13" s="81" t="s">
        <v>148</v>
      </c>
      <c r="D13" s="81" t="s">
        <v>150</v>
      </c>
      <c r="E13" s="81" t="s">
        <v>192</v>
      </c>
      <c r="F13" s="81" t="s">
        <v>164</v>
      </c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ht="43.5" customHeight="1">
      <c r="A14" s="83" t="s">
        <v>207</v>
      </c>
      <c r="B14" s="83" t="s">
        <v>210</v>
      </c>
      <c r="C14" s="84"/>
      <c r="D14" s="84"/>
      <c r="E14" s="83" t="str">
        <f t="shared" ref="E14:E29" si="1">IF(OR(C14="",D14=""),"",D14-C14)</f>
        <v/>
      </c>
      <c r="F14" s="86" t="s">
        <v>177</v>
      </c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ht="43.5" customHeight="1">
      <c r="A15" s="87" t="s">
        <v>214</v>
      </c>
      <c r="B15" s="87" t="s">
        <v>175</v>
      </c>
      <c r="C15" s="88"/>
      <c r="D15" s="88"/>
      <c r="E15" s="87" t="str">
        <f t="shared" si="1"/>
        <v/>
      </c>
      <c r="F15" s="87" t="s">
        <v>177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ht="43.5" customHeight="1">
      <c r="A16" s="87" t="s">
        <v>215</v>
      </c>
      <c r="B16" s="87" t="s">
        <v>187</v>
      </c>
      <c r="C16" s="88"/>
      <c r="D16" s="88"/>
      <c r="E16" s="87" t="str">
        <f t="shared" si="1"/>
        <v/>
      </c>
      <c r="F16" s="87" t="s">
        <v>177</v>
      </c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ht="43.5" customHeight="1">
      <c r="A17" s="87" t="s">
        <v>243</v>
      </c>
      <c r="B17" s="87" t="s">
        <v>209</v>
      </c>
      <c r="C17" s="88"/>
      <c r="D17" s="88"/>
      <c r="E17" s="87" t="str">
        <f t="shared" si="1"/>
        <v/>
      </c>
      <c r="F17" s="92" t="s">
        <v>177</v>
      </c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ht="43.5" customHeight="1">
      <c r="A18" s="93" t="s">
        <v>258</v>
      </c>
      <c r="B18" s="94" t="s">
        <v>210</v>
      </c>
      <c r="C18" s="95"/>
      <c r="D18" s="95"/>
      <c r="E18" s="94" t="str">
        <f t="shared" si="1"/>
        <v/>
      </c>
      <c r="F18" s="93" t="s">
        <v>268</v>
      </c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ht="43.5" customHeight="1">
      <c r="A19" s="96" t="s">
        <v>275</v>
      </c>
      <c r="B19" s="96" t="s">
        <v>209</v>
      </c>
      <c r="C19" s="88"/>
      <c r="D19" s="88"/>
      <c r="E19" s="97" t="str">
        <f t="shared" si="1"/>
        <v/>
      </c>
      <c r="F19" s="96" t="s">
        <v>177</v>
      </c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ht="43.5" customHeight="1">
      <c r="A20" s="96" t="s">
        <v>283</v>
      </c>
      <c r="B20" s="96" t="s">
        <v>209</v>
      </c>
      <c r="C20" s="88"/>
      <c r="D20" s="88"/>
      <c r="E20" s="97" t="str">
        <f t="shared" si="1"/>
        <v/>
      </c>
      <c r="F20" s="96" t="s">
        <v>177</v>
      </c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43.5" customHeight="1">
      <c r="A21" s="96" t="s">
        <v>286</v>
      </c>
      <c r="B21" s="96" t="s">
        <v>232</v>
      </c>
      <c r="C21" s="88"/>
      <c r="D21" s="88"/>
      <c r="E21" s="97" t="str">
        <f t="shared" si="1"/>
        <v/>
      </c>
      <c r="F21" s="96" t="s">
        <v>177</v>
      </c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43.5" customHeight="1">
      <c r="A22" s="107" t="s">
        <v>293</v>
      </c>
      <c r="B22" s="107" t="s">
        <v>175</v>
      </c>
      <c r="C22" s="108"/>
      <c r="D22" s="108"/>
      <c r="E22" s="109" t="str">
        <f t="shared" si="1"/>
        <v/>
      </c>
      <c r="F22" s="107" t="s">
        <v>177</v>
      </c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43.5" customHeight="1">
      <c r="A23" s="96" t="s">
        <v>296</v>
      </c>
      <c r="B23" s="96" t="s">
        <v>232</v>
      </c>
      <c r="C23" s="110"/>
      <c r="D23" s="110"/>
      <c r="E23" s="97" t="str">
        <f t="shared" si="1"/>
        <v/>
      </c>
      <c r="F23" s="96" t="s">
        <v>177</v>
      </c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43.5" customHeight="1">
      <c r="A24" s="96" t="s">
        <v>297</v>
      </c>
      <c r="B24" s="96" t="s">
        <v>175</v>
      </c>
      <c r="C24" s="110"/>
      <c r="D24" s="110"/>
      <c r="E24" s="97" t="str">
        <f t="shared" si="1"/>
        <v/>
      </c>
      <c r="F24" s="96" t="s">
        <v>177</v>
      </c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43.5" customHeight="1">
      <c r="A25" s="96" t="s">
        <v>298</v>
      </c>
      <c r="B25" s="96" t="s">
        <v>249</v>
      </c>
      <c r="C25" s="110"/>
      <c r="D25" s="110"/>
      <c r="E25" s="97" t="str">
        <f t="shared" si="1"/>
        <v/>
      </c>
      <c r="F25" s="96" t="s">
        <v>177</v>
      </c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ht="43.5" customHeight="1">
      <c r="A26" s="111" t="s">
        <v>299</v>
      </c>
      <c r="B26" s="111" t="s">
        <v>210</v>
      </c>
      <c r="C26" s="112"/>
      <c r="D26" s="112"/>
      <c r="E26" s="113" t="str">
        <f t="shared" si="1"/>
        <v/>
      </c>
      <c r="F26" s="113" t="s">
        <v>289</v>
      </c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ht="43.5" customHeight="1">
      <c r="A27" s="96" t="s">
        <v>300</v>
      </c>
      <c r="B27" s="96" t="s">
        <v>287</v>
      </c>
      <c r="C27" s="110"/>
      <c r="D27" s="110"/>
      <c r="E27" s="97" t="str">
        <f t="shared" si="1"/>
        <v/>
      </c>
      <c r="F27" s="97" t="s">
        <v>289</v>
      </c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43.5" customHeight="1">
      <c r="A28" s="96" t="s">
        <v>301</v>
      </c>
      <c r="B28" s="96" t="s">
        <v>210</v>
      </c>
      <c r="C28" s="110"/>
      <c r="D28" s="110"/>
      <c r="E28" s="97" t="str">
        <f t="shared" si="1"/>
        <v/>
      </c>
      <c r="F28" s="97" t="s">
        <v>289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ht="43.5" customHeight="1">
      <c r="A29" s="96" t="s">
        <v>302</v>
      </c>
      <c r="B29" s="96" t="s">
        <v>287</v>
      </c>
      <c r="C29" s="110"/>
      <c r="D29" s="110"/>
      <c r="E29" s="97" t="str">
        <f t="shared" si="1"/>
        <v/>
      </c>
      <c r="F29" s="97" t="s">
        <v>289</v>
      </c>
      <c r="G29" s="70"/>
      <c r="H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ht="15.0" customHeight="1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ht="15.75" customHeight="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ht="37.5" customHeight="1">
      <c r="A32" s="114" t="s">
        <v>303</v>
      </c>
      <c r="B32" s="115" t="s">
        <v>177</v>
      </c>
      <c r="C32" s="70"/>
      <c r="D32" s="70"/>
      <c r="E32" s="116" t="s">
        <v>304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ht="31.5" customHeight="1">
      <c r="A33" s="20"/>
      <c r="B33" s="115" t="s">
        <v>305</v>
      </c>
      <c r="C33" s="70"/>
      <c r="D33" s="70"/>
      <c r="E33" s="117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ht="36.0" customHeight="1">
      <c r="A34" s="20"/>
      <c r="B34" s="115" t="s">
        <v>306</v>
      </c>
      <c r="C34" s="70"/>
      <c r="D34" s="70"/>
      <c r="E34" s="118" t="s">
        <v>307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ht="36.0" customHeight="1">
      <c r="A35" s="21"/>
      <c r="B35" s="115" t="s">
        <v>308</v>
      </c>
      <c r="C35" s="70"/>
      <c r="D35" s="70"/>
      <c r="E35" s="119" t="s">
        <v>309</v>
      </c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ht="36.0" customHeight="1">
      <c r="A36" s="70"/>
      <c r="B36" s="70"/>
      <c r="C36" s="70"/>
      <c r="D36" s="70"/>
      <c r="E36" s="120" t="s">
        <v>310</v>
      </c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ht="36.0" customHeight="1">
      <c r="A37" s="70"/>
      <c r="B37" s="70"/>
      <c r="C37" s="70"/>
      <c r="D37" s="70"/>
      <c r="E37" s="121" t="s">
        <v>311</v>
      </c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ht="36.0" customHeight="1">
      <c r="A38" s="70"/>
      <c r="B38" s="70"/>
      <c r="C38" s="70"/>
      <c r="D38" s="70"/>
      <c r="E38" s="121" t="s">
        <v>312</v>
      </c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ht="36.0" customHeight="1">
      <c r="A39" s="70"/>
      <c r="B39" s="70"/>
      <c r="C39" s="70"/>
      <c r="D39" s="70"/>
      <c r="E39" s="122" t="s">
        <v>313</v>
      </c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ht="36.0" customHeight="1">
      <c r="A40" s="70"/>
      <c r="B40" s="70"/>
      <c r="C40" s="70"/>
      <c r="D40" s="70"/>
      <c r="E40" s="121" t="s">
        <v>314</v>
      </c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ht="36.0" customHeight="1">
      <c r="A41" s="70"/>
      <c r="B41" s="70"/>
      <c r="C41" s="70"/>
      <c r="D41" s="70"/>
      <c r="E41" s="121" t="s">
        <v>315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ht="36.0" customHeight="1">
      <c r="A42" s="70"/>
      <c r="B42" s="70"/>
      <c r="C42" s="70"/>
      <c r="D42" s="70"/>
      <c r="E42" s="121" t="s">
        <v>316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ht="15.75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ht="15.75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ht="15.75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ht="15.75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ht="15.7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ht="15.7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15.7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ht="15.7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ht="15.7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15.7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ht="15.7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ht="15.7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ht="15.7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ht="15.7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ht="15.7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ht="15.7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ht="15.7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ht="15.7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ht="15.7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ht="15.7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15.7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ht="15.7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ht="15.7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ht="15.7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ht="15.7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ht="15.7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ht="15.7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ht="15.7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ht="15.7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ht="15.7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ht="15.7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ht="15.7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ht="15.7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ht="15.7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ht="15.7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ht="15.7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ht="15.7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ht="15.7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ht="15.7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ht="15.7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ht="15.7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ht="15.7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ht="15.7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ht="15.7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ht="15.7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ht="15.7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ht="15.7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ht="15.7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ht="15.7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ht="15.7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ht="15.7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ht="15.7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ht="15.7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ht="15.7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ht="15.7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ht="15.7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ht="15.7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ht="15.7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ht="15.7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ht="15.7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ht="15.7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ht="15.7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ht="15.7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ht="15.7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ht="15.7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ht="15.7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ht="15.7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ht="15.7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ht="15.7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ht="15.7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ht="15.7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ht="15.7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ht="15.7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ht="15.7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ht="15.7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ht="15.7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ht="15.7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ht="15.7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ht="15.7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ht="15.7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ht="15.7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ht="15.7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ht="15.7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ht="15.7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ht="15.7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ht="15.7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ht="15.7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ht="15.7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ht="15.7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ht="15.7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ht="15.7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ht="15.7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ht="15.7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ht="15.7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ht="15.7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ht="15.7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ht="15.7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ht="15.7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ht="15.7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ht="15.7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ht="15.7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ht="15.7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ht="15.7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ht="15.7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ht="15.7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ht="15.7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ht="15.7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ht="15.7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ht="15.7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ht="15.7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ht="15.7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ht="15.7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ht="15.7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ht="15.7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ht="15.7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ht="15.7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ht="15.7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ht="15.7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ht="15.7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ht="15.7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ht="15.7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ht="15.7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ht="15.7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ht="15.7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ht="15.7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ht="15.7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ht="15.7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ht="15.7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ht="15.7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ht="15.7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ht="15.7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ht="15.7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ht="15.7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ht="15.7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ht="15.7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ht="15.7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ht="15.7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ht="15.7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ht="15.75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ht="15.75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ht="15.75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ht="15.7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38:M38"/>
    <mergeCell ref="E39:M39"/>
    <mergeCell ref="E40:M40"/>
    <mergeCell ref="E41:M41"/>
    <mergeCell ref="E42:M42"/>
    <mergeCell ref="A1:F3"/>
    <mergeCell ref="A32:A35"/>
    <mergeCell ref="E32:M33"/>
    <mergeCell ref="E34:M34"/>
    <mergeCell ref="E35:M35"/>
    <mergeCell ref="E36:M36"/>
    <mergeCell ref="E37:M3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/>
  </sheetViews>
  <sheetFormatPr customHeight="1" defaultColWidth="11.22" defaultRowHeight="15.0"/>
  <cols>
    <col customWidth="1" min="1" max="1" width="8.44"/>
    <col customWidth="1" min="2" max="2" width="11.89"/>
    <col customWidth="1" min="3" max="3" width="12.44"/>
    <col customWidth="1" min="4" max="4" width="23.44"/>
    <col customWidth="1" min="5" max="5" width="43.22"/>
    <col customWidth="1" min="6" max="6" width="8.33"/>
    <col customWidth="1" min="7" max="7" width="30.11"/>
  </cols>
  <sheetData>
    <row r="1" ht="45.0" customHeight="1">
      <c r="A1" s="1" t="s">
        <v>0</v>
      </c>
      <c r="B1" s="2"/>
      <c r="C1" s="3" t="s">
        <v>1</v>
      </c>
      <c r="D1" s="4"/>
      <c r="E1" s="4"/>
      <c r="F1" s="4"/>
      <c r="G1" s="2"/>
    </row>
    <row r="2" ht="25.5" customHeight="1">
      <c r="A2" s="5" t="s">
        <v>2</v>
      </c>
      <c r="B2" s="6"/>
      <c r="C2" s="6"/>
      <c r="D2" s="6"/>
      <c r="E2" s="7"/>
      <c r="F2" s="5" t="s">
        <v>3</v>
      </c>
      <c r="G2" s="7"/>
    </row>
    <row r="3" ht="54.75" customHeight="1">
      <c r="A3" s="8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</row>
    <row r="4" ht="57.75" customHeight="1">
      <c r="A4" s="9">
        <v>2.0</v>
      </c>
      <c r="B4" s="13" t="s">
        <v>11</v>
      </c>
      <c r="C4" s="15" t="s">
        <v>13</v>
      </c>
      <c r="D4" s="15" t="s">
        <v>15</v>
      </c>
      <c r="E4" s="15" t="s">
        <v>17</v>
      </c>
      <c r="F4" s="17" t="s">
        <v>18</v>
      </c>
      <c r="G4" s="17" t="s">
        <v>19</v>
      </c>
    </row>
    <row r="5" ht="57.75" customHeight="1">
      <c r="A5" s="20"/>
      <c r="B5" s="20"/>
      <c r="C5" s="20"/>
      <c r="D5" s="20"/>
      <c r="E5" s="20"/>
      <c r="F5" s="17" t="s">
        <v>21</v>
      </c>
      <c r="G5" s="17" t="s">
        <v>22</v>
      </c>
    </row>
    <row r="6" ht="57.75" customHeight="1">
      <c r="A6" s="20"/>
      <c r="B6" s="20"/>
      <c r="C6" s="20"/>
      <c r="D6" s="20"/>
      <c r="E6" s="20"/>
      <c r="F6" s="17" t="s">
        <v>23</v>
      </c>
      <c r="G6" s="17" t="s">
        <v>24</v>
      </c>
    </row>
    <row r="7" ht="57.75" customHeight="1">
      <c r="A7" s="21"/>
      <c r="B7" s="21"/>
      <c r="C7" s="21"/>
      <c r="D7" s="21"/>
      <c r="E7" s="21"/>
      <c r="F7" s="17" t="s">
        <v>25</v>
      </c>
      <c r="G7" s="17" t="s">
        <v>26</v>
      </c>
    </row>
    <row r="8" ht="57.75" customHeight="1">
      <c r="A8" s="22"/>
      <c r="B8" s="22"/>
      <c r="C8" s="22"/>
      <c r="D8" s="22"/>
      <c r="E8" s="22"/>
      <c r="F8" s="22"/>
      <c r="G8" s="22"/>
    </row>
    <row r="9" ht="57.75" customHeight="1">
      <c r="A9" s="24">
        <v>1.0</v>
      </c>
      <c r="B9" s="25" t="s">
        <v>27</v>
      </c>
      <c r="C9" s="26" t="s">
        <v>28</v>
      </c>
      <c r="D9" s="26" t="s">
        <v>29</v>
      </c>
      <c r="E9" s="26" t="s">
        <v>30</v>
      </c>
      <c r="F9" s="28" t="s">
        <v>31</v>
      </c>
      <c r="G9" s="28" t="s">
        <v>32</v>
      </c>
    </row>
    <row r="10" ht="57.75" customHeight="1">
      <c r="A10" s="20"/>
      <c r="B10" s="20"/>
      <c r="C10" s="20"/>
      <c r="D10" s="20"/>
      <c r="E10" s="20"/>
      <c r="F10" s="28" t="s">
        <v>33</v>
      </c>
      <c r="G10" s="28" t="s">
        <v>34</v>
      </c>
    </row>
    <row r="11" ht="57.75" customHeight="1">
      <c r="A11" s="21"/>
      <c r="B11" s="21"/>
      <c r="C11" s="21"/>
      <c r="D11" s="21"/>
      <c r="E11" s="21"/>
      <c r="F11" s="28" t="s">
        <v>35</v>
      </c>
      <c r="G11" s="29" t="s">
        <v>36</v>
      </c>
    </row>
    <row r="12" ht="15.75" customHeight="1">
      <c r="A12" s="30"/>
      <c r="B12" s="6"/>
      <c r="C12" s="6"/>
      <c r="D12" s="6"/>
      <c r="E12" s="6"/>
      <c r="F12" s="6"/>
      <c r="G12" s="7"/>
    </row>
    <row r="13" ht="39.75" customHeight="1">
      <c r="A13" s="32" t="s">
        <v>37</v>
      </c>
      <c r="B13" s="6"/>
      <c r="C13" s="6"/>
      <c r="D13" s="6"/>
      <c r="E13" s="6"/>
      <c r="F13" s="6"/>
      <c r="G13" s="7"/>
    </row>
    <row r="14" ht="15.75" customHeight="1">
      <c r="A14" s="30"/>
      <c r="B14" s="6"/>
      <c r="C14" s="6"/>
      <c r="D14" s="6"/>
      <c r="E14" s="6"/>
      <c r="F14" s="6"/>
      <c r="G14" s="7"/>
    </row>
    <row r="15" ht="31.5" customHeight="1">
      <c r="A15" s="35" t="s">
        <v>40</v>
      </c>
      <c r="B15" s="37"/>
      <c r="C15" s="37"/>
      <c r="D15" s="37"/>
      <c r="E15" s="37"/>
      <c r="F15" s="37"/>
      <c r="G15" s="38"/>
    </row>
    <row r="16" ht="31.5" customHeight="1">
      <c r="A16" s="39"/>
      <c r="B16" s="40"/>
      <c r="C16" s="40"/>
      <c r="D16" s="40"/>
      <c r="E16" s="40"/>
      <c r="F16" s="40"/>
      <c r="G16" s="41"/>
    </row>
    <row r="17" ht="31.5" customHeight="1">
      <c r="A17" s="42" t="s">
        <v>46</v>
      </c>
      <c r="B17" s="45" t="s">
        <v>48</v>
      </c>
      <c r="C17" s="46" t="s">
        <v>28</v>
      </c>
      <c r="D17" s="46" t="s">
        <v>50</v>
      </c>
      <c r="E17" s="46" t="s">
        <v>51</v>
      </c>
      <c r="F17" s="47" t="s">
        <v>52</v>
      </c>
      <c r="G17" s="49" t="s">
        <v>53</v>
      </c>
    </row>
    <row r="18" ht="31.5" customHeight="1">
      <c r="A18" s="51"/>
      <c r="B18" s="51"/>
      <c r="C18" s="51"/>
      <c r="D18" s="51"/>
      <c r="E18" s="51"/>
      <c r="F18" s="47" t="s">
        <v>55</v>
      </c>
      <c r="G18" s="49" t="s">
        <v>56</v>
      </c>
    </row>
    <row r="19" ht="31.5" customHeight="1">
      <c r="A19" s="51"/>
      <c r="B19" s="51"/>
      <c r="C19" s="51"/>
      <c r="D19" s="51"/>
      <c r="E19" s="51"/>
      <c r="F19" s="47" t="s">
        <v>57</v>
      </c>
      <c r="G19" s="49" t="s">
        <v>58</v>
      </c>
    </row>
    <row r="20" ht="31.5" customHeight="1">
      <c r="A20" s="51"/>
      <c r="B20" s="51"/>
      <c r="C20" s="51"/>
      <c r="D20" s="51"/>
      <c r="E20" s="51"/>
      <c r="F20" s="47" t="s">
        <v>60</v>
      </c>
      <c r="G20" s="49" t="s">
        <v>61</v>
      </c>
    </row>
    <row r="21" ht="31.5" customHeight="1">
      <c r="A21" s="56"/>
      <c r="B21" s="56"/>
      <c r="C21" s="56"/>
      <c r="D21" s="56"/>
      <c r="E21" s="56"/>
      <c r="F21" s="47" t="s">
        <v>65</v>
      </c>
      <c r="G21" s="49" t="s">
        <v>66</v>
      </c>
    </row>
    <row r="22" ht="15.75" customHeight="1">
      <c r="F22" s="58" t="s">
        <v>67</v>
      </c>
      <c r="G22" s="58" t="s">
        <v>69</v>
      </c>
    </row>
    <row r="23" ht="15.75" customHeight="1">
      <c r="F23" s="58" t="s">
        <v>70</v>
      </c>
      <c r="G23" s="58" t="s">
        <v>72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4:D7"/>
    <mergeCell ref="E4:E7"/>
    <mergeCell ref="A1:B1"/>
    <mergeCell ref="C1:G1"/>
    <mergeCell ref="A2:E2"/>
    <mergeCell ref="F2:G2"/>
    <mergeCell ref="A4:A7"/>
    <mergeCell ref="B4:B7"/>
    <mergeCell ref="C4:C7"/>
    <mergeCell ref="A14:G14"/>
    <mergeCell ref="A15:G16"/>
    <mergeCell ref="A9:A11"/>
    <mergeCell ref="B9:B11"/>
    <mergeCell ref="C9:C11"/>
    <mergeCell ref="D9:D11"/>
    <mergeCell ref="E9:E11"/>
    <mergeCell ref="A12:G12"/>
    <mergeCell ref="A13:G13"/>
  </mergeCells>
  <hyperlinks>
    <hyperlink display="HE-01 / SCRUM-5" location="'HE-01'!A1" ref="B4"/>
    <hyperlink display="HE-02 / SCRUM-10" location="'HE-03'!A1" ref="B9"/>
    <hyperlink display="SCRUM-14 / Sprint 2" location="SPRINT_2!A1" ref="B17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49A"/>
    <pageSetUpPr/>
  </sheetPr>
  <sheetViews>
    <sheetView workbookViewId="0"/>
  </sheetViews>
  <sheetFormatPr customHeight="1" defaultColWidth="11.22" defaultRowHeight="15.0"/>
  <cols>
    <col customWidth="1" min="1" max="1" width="24.89"/>
    <col customWidth="1" min="2" max="2" width="25.89"/>
    <col customWidth="1" min="3" max="3" width="24.78"/>
    <col customWidth="1" min="4" max="4" width="26.0"/>
    <col customWidth="1" min="5" max="5" width="22.11"/>
    <col customWidth="1" min="6" max="6" width="10.0"/>
    <col customWidth="1" min="7" max="7" width="29.44"/>
    <col customWidth="1" min="8" max="8" width="29.78"/>
    <col customWidth="1" min="9" max="9" width="25.33"/>
    <col customWidth="1" min="10" max="10" width="28.22"/>
    <col customWidth="1" min="11" max="11" width="33.89"/>
    <col customWidth="1" min="12" max="12" width="21.33"/>
    <col customWidth="1" min="13" max="26" width="12.67"/>
  </cols>
  <sheetData>
    <row r="1" ht="67.5" customHeight="1">
      <c r="A1" s="10"/>
      <c r="B1" s="11" t="s">
        <v>12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42.0" customHeight="1">
      <c r="A2" s="14" t="s">
        <v>0</v>
      </c>
      <c r="B2" s="16" t="s">
        <v>16</v>
      </c>
      <c r="C2" s="18"/>
      <c r="D2" s="18"/>
      <c r="E2" s="18"/>
      <c r="F2" s="18"/>
      <c r="G2" s="18"/>
      <c r="H2" s="19"/>
      <c r="I2" s="23" t="s">
        <v>20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31" t="s">
        <v>5</v>
      </c>
      <c r="B4" s="33" t="s">
        <v>38</v>
      </c>
      <c r="C4" s="6"/>
      <c r="D4" s="6"/>
      <c r="E4" s="7"/>
      <c r="F4" s="34"/>
      <c r="G4" s="33" t="s">
        <v>39</v>
      </c>
      <c r="H4" s="6"/>
      <c r="I4" s="6"/>
      <c r="J4" s="7"/>
      <c r="K4" s="36"/>
      <c r="L4" s="36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21"/>
      <c r="B5" s="34" t="s">
        <v>6</v>
      </c>
      <c r="C5" s="34" t="s">
        <v>7</v>
      </c>
      <c r="D5" s="34" t="s">
        <v>8</v>
      </c>
      <c r="E5" s="34" t="s">
        <v>41</v>
      </c>
      <c r="F5" s="34" t="s">
        <v>42</v>
      </c>
      <c r="G5" s="34" t="s">
        <v>43</v>
      </c>
      <c r="H5" s="34" t="s">
        <v>44</v>
      </c>
      <c r="I5" s="34" t="s">
        <v>45</v>
      </c>
      <c r="J5" s="34" t="s">
        <v>47</v>
      </c>
      <c r="K5" s="43"/>
      <c r="L5" s="43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10"/>
      <c r="L6" s="10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87.75" customHeight="1">
      <c r="A7" s="48" t="s">
        <v>18</v>
      </c>
      <c r="B7" s="48" t="s">
        <v>62</v>
      </c>
      <c r="C7" s="57" t="s">
        <v>64</v>
      </c>
      <c r="D7" s="55" t="s">
        <v>71</v>
      </c>
      <c r="E7" s="57" t="s">
        <v>75</v>
      </c>
      <c r="F7" s="61" t="s">
        <v>73</v>
      </c>
      <c r="G7" s="61" t="s">
        <v>81</v>
      </c>
      <c r="H7" s="61" t="s">
        <v>84</v>
      </c>
      <c r="I7" s="61" t="s">
        <v>86</v>
      </c>
      <c r="J7" s="61" t="s">
        <v>87</v>
      </c>
      <c r="K7" s="63"/>
      <c r="L7" s="64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87.75" customHeight="1">
      <c r="A8" s="20"/>
      <c r="B8" s="20"/>
      <c r="C8" s="20"/>
      <c r="D8" s="20"/>
      <c r="E8" s="20"/>
      <c r="F8" s="61" t="s">
        <v>79</v>
      </c>
      <c r="G8" s="61" t="s">
        <v>93</v>
      </c>
      <c r="H8" s="61" t="s">
        <v>94</v>
      </c>
      <c r="I8" s="61" t="s">
        <v>95</v>
      </c>
      <c r="J8" s="61" t="s">
        <v>96</v>
      </c>
      <c r="K8" s="63"/>
      <c r="L8" s="63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87.75" customHeight="1">
      <c r="A9" s="21"/>
      <c r="B9" s="21"/>
      <c r="C9" s="21"/>
      <c r="D9" s="21"/>
      <c r="E9" s="21"/>
      <c r="F9" s="61" t="s">
        <v>88</v>
      </c>
      <c r="G9" s="61" t="s">
        <v>97</v>
      </c>
      <c r="H9" s="61" t="s">
        <v>98</v>
      </c>
      <c r="I9" s="61" t="s">
        <v>99</v>
      </c>
      <c r="J9" s="61" t="s">
        <v>100</v>
      </c>
      <c r="K9" s="63"/>
      <c r="L9" s="63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87.75" customHeight="1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9"/>
      <c r="L10" s="69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87.75" customHeight="1">
      <c r="A11" s="48" t="s">
        <v>21</v>
      </c>
      <c r="B11" s="48" t="s">
        <v>62</v>
      </c>
      <c r="C11" s="55" t="s">
        <v>111</v>
      </c>
      <c r="D11" s="57" t="s">
        <v>112</v>
      </c>
      <c r="E11" s="55" t="s">
        <v>117</v>
      </c>
      <c r="F11" s="61" t="s">
        <v>73</v>
      </c>
      <c r="G11" s="61" t="s">
        <v>120</v>
      </c>
      <c r="H11" s="61" t="s">
        <v>121</v>
      </c>
      <c r="I11" s="61" t="s">
        <v>122</v>
      </c>
      <c r="J11" s="61" t="s">
        <v>123</v>
      </c>
      <c r="K11" s="63"/>
      <c r="L11" s="63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87.75" customHeight="1">
      <c r="A12" s="20"/>
      <c r="B12" s="20"/>
      <c r="C12" s="20"/>
      <c r="D12" s="20"/>
      <c r="E12" s="20"/>
      <c r="F12" s="61" t="s">
        <v>79</v>
      </c>
      <c r="G12" s="61" t="s">
        <v>126</v>
      </c>
      <c r="H12" s="61" t="s">
        <v>127</v>
      </c>
      <c r="I12" s="61" t="s">
        <v>122</v>
      </c>
      <c r="J12" s="61" t="s">
        <v>128</v>
      </c>
      <c r="K12" s="63"/>
      <c r="L12" s="63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87.75" customHeight="1">
      <c r="A13" s="21"/>
      <c r="B13" s="21"/>
      <c r="C13" s="21"/>
      <c r="D13" s="21"/>
      <c r="E13" s="21"/>
      <c r="F13" s="61" t="s">
        <v>88</v>
      </c>
      <c r="G13" s="61" t="s">
        <v>136</v>
      </c>
      <c r="H13" s="61" t="s">
        <v>137</v>
      </c>
      <c r="I13" s="61" t="s">
        <v>138</v>
      </c>
      <c r="J13" s="61" t="s">
        <v>139</v>
      </c>
      <c r="K13" s="63"/>
      <c r="L13" s="63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87.75" customHeight="1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9"/>
      <c r="L14" s="69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87.75" customHeight="1">
      <c r="A15" s="48" t="s">
        <v>23</v>
      </c>
      <c r="B15" s="48" t="s">
        <v>62</v>
      </c>
      <c r="C15" s="57" t="s">
        <v>151</v>
      </c>
      <c r="D15" s="57" t="s">
        <v>152</v>
      </c>
      <c r="E15" s="57" t="s">
        <v>155</v>
      </c>
      <c r="F15" s="61" t="s">
        <v>73</v>
      </c>
      <c r="G15" s="61" t="s">
        <v>156</v>
      </c>
      <c r="H15" s="61" t="s">
        <v>157</v>
      </c>
      <c r="I15" s="61" t="s">
        <v>158</v>
      </c>
      <c r="J15" s="61" t="s">
        <v>159</v>
      </c>
      <c r="K15" s="63"/>
      <c r="L15" s="64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87.75" customHeight="1">
      <c r="A16" s="20"/>
      <c r="B16" s="20"/>
      <c r="C16" s="20"/>
      <c r="D16" s="20"/>
      <c r="E16" s="20"/>
      <c r="F16" s="61" t="s">
        <v>79</v>
      </c>
      <c r="G16" s="61" t="s">
        <v>170</v>
      </c>
      <c r="H16" s="61" t="s">
        <v>171</v>
      </c>
      <c r="I16" s="61" t="s">
        <v>172</v>
      </c>
      <c r="J16" s="61" t="s">
        <v>173</v>
      </c>
      <c r="K16" s="63"/>
      <c r="L16" s="63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87.75" customHeight="1">
      <c r="A17" s="21"/>
      <c r="B17" s="21"/>
      <c r="C17" s="21"/>
      <c r="D17" s="21"/>
      <c r="E17" s="21"/>
      <c r="F17" s="61" t="s">
        <v>88</v>
      </c>
      <c r="G17" s="61" t="s">
        <v>180</v>
      </c>
      <c r="H17" s="61" t="s">
        <v>182</v>
      </c>
      <c r="I17" s="61" t="s">
        <v>172</v>
      </c>
      <c r="J17" s="61" t="s">
        <v>185</v>
      </c>
      <c r="K17" s="63"/>
      <c r="L17" s="63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87.75" customHeight="1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9"/>
      <c r="L18" s="6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87.75" customHeight="1">
      <c r="A19" s="48" t="s">
        <v>25</v>
      </c>
      <c r="B19" s="48" t="s">
        <v>62</v>
      </c>
      <c r="C19" s="57" t="s">
        <v>193</v>
      </c>
      <c r="D19" s="57" t="s">
        <v>194</v>
      </c>
      <c r="E19" s="57" t="s">
        <v>195</v>
      </c>
      <c r="F19" s="61" t="s">
        <v>73</v>
      </c>
      <c r="G19" s="61" t="s">
        <v>196</v>
      </c>
      <c r="H19" s="61" t="s">
        <v>197</v>
      </c>
      <c r="I19" s="61" t="s">
        <v>198</v>
      </c>
      <c r="J19" s="61" t="s">
        <v>199</v>
      </c>
      <c r="K19" s="63"/>
      <c r="L19" s="64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87.75" customHeight="1">
      <c r="A20" s="20"/>
      <c r="B20" s="20"/>
      <c r="C20" s="20"/>
      <c r="D20" s="20"/>
      <c r="E20" s="20"/>
      <c r="F20" s="61" t="s">
        <v>79</v>
      </c>
      <c r="G20" s="61" t="s">
        <v>200</v>
      </c>
      <c r="H20" s="61" t="s">
        <v>201</v>
      </c>
      <c r="I20" s="61" t="s">
        <v>202</v>
      </c>
      <c r="J20" s="61" t="s">
        <v>185</v>
      </c>
      <c r="K20" s="63"/>
      <c r="L20" s="63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87.75" customHeight="1">
      <c r="A21" s="21"/>
      <c r="B21" s="21"/>
      <c r="C21" s="21"/>
      <c r="D21" s="21"/>
      <c r="E21" s="21"/>
      <c r="F21" s="61" t="s">
        <v>88</v>
      </c>
      <c r="G21" s="61" t="s">
        <v>203</v>
      </c>
      <c r="H21" s="61" t="s">
        <v>204</v>
      </c>
      <c r="I21" s="61" t="s">
        <v>205</v>
      </c>
      <c r="J21" s="61" t="s">
        <v>206</v>
      </c>
      <c r="K21" s="63"/>
      <c r="L21" s="63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15.75" customHeight="1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69"/>
      <c r="L22" s="69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98"/>
      <c r="B23" s="99"/>
      <c r="C23" s="99"/>
      <c r="D23" s="99"/>
      <c r="E23" s="99"/>
      <c r="F23" s="100"/>
      <c r="G23" s="100"/>
      <c r="H23" s="101"/>
      <c r="I23" s="100"/>
      <c r="J23" s="101"/>
      <c r="K23" s="102"/>
      <c r="L23" s="63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03" t="s">
        <v>154</v>
      </c>
      <c r="B24" s="18"/>
      <c r="C24" s="18"/>
      <c r="D24" s="18"/>
      <c r="E24" s="18"/>
      <c r="F24" s="18"/>
      <c r="G24" s="18"/>
      <c r="H24" s="18"/>
      <c r="I24" s="18"/>
      <c r="J24" s="19"/>
      <c r="K24" s="102"/>
      <c r="L24" s="104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05" t="s">
        <v>160</v>
      </c>
      <c r="B25" s="105" t="s">
        <v>161</v>
      </c>
      <c r="C25" s="105" t="s">
        <v>162</v>
      </c>
      <c r="D25" s="105" t="s">
        <v>163</v>
      </c>
      <c r="E25" s="106" t="s">
        <v>164</v>
      </c>
      <c r="F25" s="106" t="s">
        <v>165</v>
      </c>
      <c r="G25" s="105" t="s">
        <v>166</v>
      </c>
      <c r="H25" s="105" t="s">
        <v>167</v>
      </c>
      <c r="I25" s="105" t="s">
        <v>168</v>
      </c>
      <c r="J25" s="105" t="s">
        <v>169</v>
      </c>
      <c r="K25" s="69"/>
      <c r="L25" s="69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80.0" customHeight="1">
      <c r="A26" s="77" t="s">
        <v>18</v>
      </c>
      <c r="B26" s="77" t="s">
        <v>285</v>
      </c>
      <c r="C26" s="77" t="s">
        <v>287</v>
      </c>
      <c r="D26" s="77" t="s">
        <v>288</v>
      </c>
      <c r="E26" s="77" t="s">
        <v>289</v>
      </c>
      <c r="F26" s="77" t="s">
        <v>178</v>
      </c>
      <c r="G26" s="77" t="s">
        <v>290</v>
      </c>
      <c r="H26" s="77" t="s">
        <v>181</v>
      </c>
      <c r="I26" s="77" t="s">
        <v>212</v>
      </c>
      <c r="J26" s="77" t="s">
        <v>291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80.0" customHeight="1">
      <c r="A27" s="77" t="s">
        <v>21</v>
      </c>
      <c r="B27" s="77" t="s">
        <v>292</v>
      </c>
      <c r="C27" s="77" t="s">
        <v>287</v>
      </c>
      <c r="D27" s="77" t="s">
        <v>288</v>
      </c>
      <c r="E27" s="77" t="s">
        <v>289</v>
      </c>
      <c r="F27" s="77" t="s">
        <v>178</v>
      </c>
      <c r="G27" s="77" t="s">
        <v>290</v>
      </c>
      <c r="H27" s="77" t="s">
        <v>181</v>
      </c>
      <c r="I27" s="77" t="s">
        <v>212</v>
      </c>
      <c r="J27" s="77" t="s">
        <v>291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80.0" customHeight="1">
      <c r="A28" s="77" t="s">
        <v>23</v>
      </c>
      <c r="B28" s="77" t="s">
        <v>294</v>
      </c>
      <c r="C28" s="77" t="s">
        <v>287</v>
      </c>
      <c r="D28" s="77" t="s">
        <v>288</v>
      </c>
      <c r="E28" s="77" t="s">
        <v>289</v>
      </c>
      <c r="F28" s="77" t="s">
        <v>178</v>
      </c>
      <c r="G28" s="77" t="s">
        <v>290</v>
      </c>
      <c r="H28" s="77" t="s">
        <v>181</v>
      </c>
      <c r="I28" s="77" t="s">
        <v>212</v>
      </c>
      <c r="J28" s="77" t="s">
        <v>291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80.0" customHeight="1">
      <c r="A29" s="77" t="s">
        <v>25</v>
      </c>
      <c r="B29" s="77" t="s">
        <v>295</v>
      </c>
      <c r="C29" s="77" t="s">
        <v>287</v>
      </c>
      <c r="D29" s="77" t="s">
        <v>288</v>
      </c>
      <c r="E29" s="77" t="s">
        <v>289</v>
      </c>
      <c r="F29" s="77" t="s">
        <v>178</v>
      </c>
      <c r="G29" s="77" t="s">
        <v>290</v>
      </c>
      <c r="H29" s="77" t="s">
        <v>181</v>
      </c>
      <c r="I29" s="77" t="s">
        <v>212</v>
      </c>
      <c r="J29" s="77" t="s">
        <v>291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H1"/>
    <mergeCell ref="B2:H2"/>
    <mergeCell ref="A4:A5"/>
    <mergeCell ref="B4:E4"/>
    <mergeCell ref="G4:J4"/>
    <mergeCell ref="A7:A9"/>
    <mergeCell ref="B7:B9"/>
    <mergeCell ref="E7:E9"/>
    <mergeCell ref="C7:C9"/>
    <mergeCell ref="D7:D9"/>
    <mergeCell ref="A11:A13"/>
    <mergeCell ref="B11:B13"/>
    <mergeCell ref="C11:C13"/>
    <mergeCell ref="D11:D13"/>
    <mergeCell ref="E11:E13"/>
    <mergeCell ref="C19:C21"/>
    <mergeCell ref="D19:D21"/>
    <mergeCell ref="A24:J24"/>
    <mergeCell ref="A15:A17"/>
    <mergeCell ref="B15:B17"/>
    <mergeCell ref="C15:C17"/>
    <mergeCell ref="D15:D17"/>
    <mergeCell ref="E15:E17"/>
    <mergeCell ref="A19:A21"/>
    <mergeCell ref="B19:B21"/>
    <mergeCell ref="E19:E21"/>
  </mergeCells>
  <hyperlinks>
    <hyperlink display="Retornar" location="PRODUCT_BACKLOG!A1" ref="I2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E3BC"/>
    <pageSetUpPr/>
  </sheetPr>
  <sheetViews>
    <sheetView workbookViewId="0"/>
  </sheetViews>
  <sheetFormatPr customHeight="1" defaultColWidth="11.22" defaultRowHeight="15.0"/>
  <cols>
    <col customWidth="1" min="1" max="1" width="24.89"/>
    <col customWidth="1" min="2" max="2" width="25.33"/>
    <col customWidth="1" min="3" max="3" width="24.22"/>
    <col customWidth="1" min="4" max="4" width="24.11"/>
    <col customWidth="1" min="5" max="5" width="23.33"/>
    <col customWidth="1" min="6" max="6" width="8.89"/>
    <col customWidth="1" min="7" max="7" width="25.67"/>
    <col customWidth="1" min="8" max="8" width="29.78"/>
    <col customWidth="1" min="9" max="9" width="28.33"/>
    <col customWidth="1" min="10" max="10" width="29.22"/>
    <col customWidth="1" min="11" max="11" width="33.89"/>
    <col customWidth="1" min="12" max="12" width="21.33"/>
    <col customWidth="1" min="13" max="26" width="11.0"/>
  </cols>
  <sheetData>
    <row r="1" ht="67.5" customHeight="1">
      <c r="A1" s="10"/>
      <c r="B1" s="11" t="s">
        <v>12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42.0" customHeight="1">
      <c r="A2" s="14" t="s">
        <v>0</v>
      </c>
      <c r="B2" s="16" t="s">
        <v>14</v>
      </c>
      <c r="C2" s="18"/>
      <c r="D2" s="18"/>
      <c r="E2" s="18"/>
      <c r="F2" s="18"/>
      <c r="G2" s="18"/>
      <c r="H2" s="19"/>
      <c r="I2" s="27" t="s">
        <v>20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31" t="s">
        <v>5</v>
      </c>
      <c r="B4" s="33" t="s">
        <v>38</v>
      </c>
      <c r="C4" s="6"/>
      <c r="D4" s="6"/>
      <c r="E4" s="7"/>
      <c r="F4" s="34"/>
      <c r="G4" s="33" t="s">
        <v>39</v>
      </c>
      <c r="H4" s="6"/>
      <c r="I4" s="6"/>
      <c r="J4" s="7"/>
      <c r="K4" s="36"/>
      <c r="L4" s="36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21"/>
      <c r="B5" s="34" t="s">
        <v>6</v>
      </c>
      <c r="C5" s="34" t="s">
        <v>7</v>
      </c>
      <c r="D5" s="34" t="s">
        <v>8</v>
      </c>
      <c r="E5" s="34" t="s">
        <v>41</v>
      </c>
      <c r="F5" s="34" t="s">
        <v>42</v>
      </c>
      <c r="G5" s="34" t="s">
        <v>43</v>
      </c>
      <c r="H5" s="34" t="s">
        <v>44</v>
      </c>
      <c r="I5" s="34" t="s">
        <v>45</v>
      </c>
      <c r="J5" s="34" t="s">
        <v>47</v>
      </c>
      <c r="K5" s="43"/>
      <c r="L5" s="43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10"/>
      <c r="L6" s="10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87.75" customHeight="1">
      <c r="A7" s="48" t="s">
        <v>31</v>
      </c>
      <c r="B7" s="48" t="s">
        <v>54</v>
      </c>
      <c r="C7" s="55" t="s">
        <v>59</v>
      </c>
      <c r="D7" s="57" t="s">
        <v>63</v>
      </c>
      <c r="E7" s="55" t="s">
        <v>68</v>
      </c>
      <c r="F7" s="61" t="s">
        <v>73</v>
      </c>
      <c r="G7" s="61" t="s">
        <v>74</v>
      </c>
      <c r="H7" s="61" t="s">
        <v>76</v>
      </c>
      <c r="I7" s="61" t="s">
        <v>77</v>
      </c>
      <c r="J7" s="61" t="s">
        <v>78</v>
      </c>
      <c r="K7" s="63"/>
      <c r="L7" s="63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87.75" customHeight="1">
      <c r="A8" s="20"/>
      <c r="B8" s="20"/>
      <c r="C8" s="20"/>
      <c r="D8" s="20"/>
      <c r="E8" s="20"/>
      <c r="F8" s="61" t="s">
        <v>79</v>
      </c>
      <c r="G8" s="61" t="s">
        <v>80</v>
      </c>
      <c r="H8" s="61" t="s">
        <v>82</v>
      </c>
      <c r="I8" s="61" t="s">
        <v>83</v>
      </c>
      <c r="J8" s="61" t="s">
        <v>85</v>
      </c>
      <c r="K8" s="63"/>
      <c r="L8" s="63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87.75" customHeight="1">
      <c r="A9" s="21"/>
      <c r="B9" s="21"/>
      <c r="C9" s="21"/>
      <c r="D9" s="21"/>
      <c r="E9" s="21"/>
      <c r="F9" s="61" t="s">
        <v>88</v>
      </c>
      <c r="G9" s="61" t="s">
        <v>89</v>
      </c>
      <c r="H9" s="61" t="s">
        <v>90</v>
      </c>
      <c r="I9" s="61" t="s">
        <v>91</v>
      </c>
      <c r="J9" s="61" t="s">
        <v>92</v>
      </c>
      <c r="K9" s="63"/>
      <c r="L9" s="63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87.75" customHeight="1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9"/>
      <c r="L10" s="69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87.75" customHeight="1">
      <c r="A11" s="71" t="s">
        <v>33</v>
      </c>
      <c r="B11" s="71" t="s">
        <v>54</v>
      </c>
      <c r="C11" s="71" t="s">
        <v>101</v>
      </c>
      <c r="D11" s="71" t="s">
        <v>102</v>
      </c>
      <c r="E11" s="71" t="s">
        <v>103</v>
      </c>
      <c r="F11" s="71" t="s">
        <v>73</v>
      </c>
      <c r="G11" s="71" t="s">
        <v>104</v>
      </c>
      <c r="H11" s="71" t="s">
        <v>105</v>
      </c>
      <c r="I11" s="71" t="s">
        <v>77</v>
      </c>
      <c r="J11" s="71" t="s">
        <v>106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87.75" customHeight="1">
      <c r="F12" s="71" t="s">
        <v>79</v>
      </c>
      <c r="G12" s="71" t="s">
        <v>108</v>
      </c>
      <c r="H12" s="71" t="s">
        <v>109</v>
      </c>
      <c r="I12" s="71" t="s">
        <v>77</v>
      </c>
      <c r="J12" s="71" t="s">
        <v>110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87.75" customHeight="1">
      <c r="F13" s="71" t="s">
        <v>88</v>
      </c>
      <c r="G13" s="71" t="s">
        <v>113</v>
      </c>
      <c r="H13" s="71" t="s">
        <v>114</v>
      </c>
      <c r="I13" s="71" t="s">
        <v>115</v>
      </c>
      <c r="J13" s="71" t="s">
        <v>116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87.75" customHeight="1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87.75" customHeight="1">
      <c r="A15" s="71" t="s">
        <v>35</v>
      </c>
      <c r="B15" s="71" t="s">
        <v>54</v>
      </c>
      <c r="C15" s="71" t="s">
        <v>129</v>
      </c>
      <c r="D15" s="71" t="s">
        <v>130</v>
      </c>
      <c r="E15" s="71" t="s">
        <v>131</v>
      </c>
      <c r="F15" s="71" t="s">
        <v>73</v>
      </c>
      <c r="G15" s="71" t="s">
        <v>132</v>
      </c>
      <c r="H15" s="71" t="s">
        <v>133</v>
      </c>
      <c r="I15" s="71" t="s">
        <v>134</v>
      </c>
      <c r="J15" s="71" t="s">
        <v>135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87.75" customHeight="1">
      <c r="F16" s="71" t="s">
        <v>79</v>
      </c>
      <c r="G16" s="71" t="s">
        <v>140</v>
      </c>
      <c r="H16" s="71" t="s">
        <v>141</v>
      </c>
      <c r="I16" s="71" t="s">
        <v>142</v>
      </c>
      <c r="J16" s="71" t="s">
        <v>143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87.75" customHeight="1">
      <c r="F17" s="71" t="s">
        <v>88</v>
      </c>
      <c r="G17" s="71" t="s">
        <v>144</v>
      </c>
      <c r="H17" s="71" t="s">
        <v>145</v>
      </c>
      <c r="I17" s="71" t="s">
        <v>146</v>
      </c>
      <c r="J17" s="71" t="s">
        <v>147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87.75" customHeight="1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87.75" customHeight="1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87.75" customHeight="1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87.75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77" t="s">
        <v>154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78" t="s">
        <v>160</v>
      </c>
      <c r="B25" s="78" t="s">
        <v>161</v>
      </c>
      <c r="C25" s="78" t="s">
        <v>162</v>
      </c>
      <c r="D25" s="78" t="s">
        <v>163</v>
      </c>
      <c r="E25" s="78" t="s">
        <v>164</v>
      </c>
      <c r="F25" s="78" t="s">
        <v>165</v>
      </c>
      <c r="G25" s="78" t="s">
        <v>166</v>
      </c>
      <c r="H25" s="78" t="s">
        <v>167</v>
      </c>
      <c r="I25" s="78" t="s">
        <v>168</v>
      </c>
      <c r="J25" s="78" t="s">
        <v>169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80.0" customHeight="1">
      <c r="A26" s="77" t="s">
        <v>31</v>
      </c>
      <c r="B26" s="77" t="s">
        <v>174</v>
      </c>
      <c r="C26" s="77" t="s">
        <v>175</v>
      </c>
      <c r="D26" s="77" t="s">
        <v>176</v>
      </c>
      <c r="E26" s="77" t="s">
        <v>177</v>
      </c>
      <c r="F26" s="77" t="s">
        <v>178</v>
      </c>
      <c r="G26" s="77" t="s">
        <v>179</v>
      </c>
      <c r="H26" s="77" t="s">
        <v>181</v>
      </c>
      <c r="I26" s="77" t="s">
        <v>183</v>
      </c>
      <c r="J26" s="77" t="s">
        <v>184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80.0" customHeight="1">
      <c r="A27" s="77" t="s">
        <v>33</v>
      </c>
      <c r="B27" s="77" t="s">
        <v>186</v>
      </c>
      <c r="C27" s="77" t="s">
        <v>187</v>
      </c>
      <c r="D27" s="77" t="s">
        <v>176</v>
      </c>
      <c r="E27" s="77" t="s">
        <v>177</v>
      </c>
      <c r="F27" s="77" t="s">
        <v>178</v>
      </c>
      <c r="G27" s="77" t="s">
        <v>188</v>
      </c>
      <c r="H27" s="77" t="s">
        <v>181</v>
      </c>
      <c r="I27" s="77" t="s">
        <v>190</v>
      </c>
      <c r="J27" s="77" t="s">
        <v>191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80.0" customHeight="1">
      <c r="A28" s="77" t="s">
        <v>35</v>
      </c>
      <c r="B28" s="77" t="s">
        <v>208</v>
      </c>
      <c r="C28" s="77" t="s">
        <v>209</v>
      </c>
      <c r="D28" s="77" t="s">
        <v>176</v>
      </c>
      <c r="E28" s="85" t="s">
        <v>177</v>
      </c>
      <c r="F28" s="77" t="s">
        <v>178</v>
      </c>
      <c r="G28" s="77" t="s">
        <v>211</v>
      </c>
      <c r="H28" s="77" t="s">
        <v>181</v>
      </c>
      <c r="I28" s="77" t="s">
        <v>212</v>
      </c>
      <c r="J28" s="77" t="s">
        <v>213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80.0" customHeight="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H1"/>
    <mergeCell ref="B2:H2"/>
    <mergeCell ref="A4:A5"/>
    <mergeCell ref="B4:E4"/>
    <mergeCell ref="G4:J4"/>
    <mergeCell ref="A7:A9"/>
    <mergeCell ref="B7:B9"/>
    <mergeCell ref="E7:E9"/>
    <mergeCell ref="A15:A17"/>
    <mergeCell ref="B15:B17"/>
    <mergeCell ref="C15:C17"/>
    <mergeCell ref="D15:D17"/>
    <mergeCell ref="E15:E17"/>
    <mergeCell ref="A24:J24"/>
    <mergeCell ref="C7:C9"/>
    <mergeCell ref="D7:D9"/>
    <mergeCell ref="A11:A13"/>
    <mergeCell ref="B11:B13"/>
    <mergeCell ref="C11:C13"/>
    <mergeCell ref="D11:D13"/>
    <mergeCell ref="E11:E13"/>
  </mergeCells>
  <hyperlinks>
    <hyperlink display="Retornar" location="PRODUCT_BACKLOG!A1" ref="I2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14.56"/>
    <col customWidth="1" min="2" max="2" width="31.22"/>
    <col customWidth="1" min="3" max="3" width="17.89"/>
    <col customWidth="1" min="4" max="4" width="10.11"/>
    <col customWidth="1" min="5" max="5" width="13.44"/>
    <col customWidth="1" min="6" max="6" width="46.78"/>
    <col customWidth="1" min="7" max="7" width="37.89"/>
    <col customWidth="1" min="8" max="8" width="33.44"/>
  </cols>
  <sheetData>
    <row r="1">
      <c r="A1" s="89" t="s">
        <v>216</v>
      </c>
    </row>
    <row r="2">
      <c r="A2" s="90" t="s">
        <v>217</v>
      </c>
    </row>
    <row r="3">
      <c r="A3" s="91" t="s">
        <v>218</v>
      </c>
      <c r="B3" s="91" t="s">
        <v>219</v>
      </c>
      <c r="C3" s="91" t="s">
        <v>162</v>
      </c>
      <c r="D3" s="91" t="s">
        <v>4</v>
      </c>
      <c r="E3" s="91" t="s">
        <v>220</v>
      </c>
      <c r="F3" s="91" t="s">
        <v>221</v>
      </c>
      <c r="G3" s="91" t="s">
        <v>168</v>
      </c>
      <c r="H3" s="91" t="s">
        <v>222</v>
      </c>
    </row>
    <row r="4">
      <c r="A4" s="90" t="s">
        <v>52</v>
      </c>
      <c r="B4" s="90" t="s">
        <v>223</v>
      </c>
      <c r="C4" s="90" t="s">
        <v>209</v>
      </c>
      <c r="D4" s="90" t="s">
        <v>224</v>
      </c>
      <c r="E4" s="90" t="s">
        <v>177</v>
      </c>
      <c r="F4" s="90" t="s">
        <v>225</v>
      </c>
      <c r="G4" s="90" t="s">
        <v>226</v>
      </c>
      <c r="H4" s="90" t="s">
        <v>227</v>
      </c>
    </row>
    <row r="5">
      <c r="A5" s="90" t="s">
        <v>55</v>
      </c>
      <c r="B5" s="90" t="s">
        <v>228</v>
      </c>
      <c r="C5" s="90" t="s">
        <v>209</v>
      </c>
      <c r="D5" s="90" t="s">
        <v>224</v>
      </c>
      <c r="E5" s="90" t="s">
        <v>177</v>
      </c>
      <c r="F5" s="90" t="s">
        <v>229</v>
      </c>
      <c r="G5" s="90" t="s">
        <v>226</v>
      </c>
      <c r="H5" s="90" t="s">
        <v>230</v>
      </c>
    </row>
    <row r="6">
      <c r="A6" s="90" t="s">
        <v>57</v>
      </c>
      <c r="B6" s="90" t="s">
        <v>231</v>
      </c>
      <c r="C6" s="90" t="s">
        <v>232</v>
      </c>
      <c r="D6" s="90" t="s">
        <v>224</v>
      </c>
      <c r="E6" s="90" t="s">
        <v>177</v>
      </c>
      <c r="F6" s="90" t="s">
        <v>233</v>
      </c>
      <c r="G6" s="90" t="s">
        <v>234</v>
      </c>
      <c r="H6" s="90" t="s">
        <v>235</v>
      </c>
    </row>
    <row r="7">
      <c r="A7" s="90" t="s">
        <v>60</v>
      </c>
      <c r="B7" s="90" t="s">
        <v>236</v>
      </c>
      <c r="C7" s="90" t="s">
        <v>175</v>
      </c>
      <c r="D7" s="90" t="s">
        <v>224</v>
      </c>
      <c r="E7" s="90" t="s">
        <v>177</v>
      </c>
      <c r="F7" s="90" t="s">
        <v>237</v>
      </c>
      <c r="G7" s="90" t="s">
        <v>238</v>
      </c>
      <c r="H7" s="90" t="s">
        <v>239</v>
      </c>
    </row>
    <row r="8">
      <c r="A8" s="90" t="s">
        <v>65</v>
      </c>
      <c r="B8" s="90" t="s">
        <v>240</v>
      </c>
      <c r="C8" s="90" t="s">
        <v>232</v>
      </c>
      <c r="D8" s="90" t="s">
        <v>224</v>
      </c>
      <c r="E8" s="90" t="s">
        <v>177</v>
      </c>
      <c r="F8" s="90" t="s">
        <v>241</v>
      </c>
      <c r="G8" s="90" t="s">
        <v>234</v>
      </c>
      <c r="H8" s="90" t="s">
        <v>242</v>
      </c>
    </row>
    <row r="9">
      <c r="A9" s="90" t="s">
        <v>67</v>
      </c>
      <c r="B9" s="90" t="s">
        <v>244</v>
      </c>
      <c r="C9" s="90" t="s">
        <v>175</v>
      </c>
      <c r="D9" s="90" t="s">
        <v>224</v>
      </c>
      <c r="E9" s="90" t="s">
        <v>177</v>
      </c>
      <c r="F9" s="90" t="s">
        <v>245</v>
      </c>
      <c r="G9" s="90" t="s">
        <v>246</v>
      </c>
      <c r="H9" s="90" t="s">
        <v>247</v>
      </c>
    </row>
    <row r="10">
      <c r="A10" s="90" t="s">
        <v>70</v>
      </c>
      <c r="B10" s="90" t="s">
        <v>248</v>
      </c>
      <c r="C10" s="90" t="s">
        <v>249</v>
      </c>
      <c r="D10" s="90" t="s">
        <v>224</v>
      </c>
      <c r="E10" s="90" t="s">
        <v>177</v>
      </c>
      <c r="F10" s="90" t="s">
        <v>250</v>
      </c>
      <c r="G10" s="90" t="s">
        <v>251</v>
      </c>
      <c r="H10" s="90" t="s">
        <v>252</v>
      </c>
    </row>
    <row r="11">
      <c r="A11" s="90" t="s">
        <v>253</v>
      </c>
      <c r="B11" s="90" t="s">
        <v>253</v>
      </c>
      <c r="C11" s="90" t="s">
        <v>253</v>
      </c>
      <c r="D11" s="90" t="s">
        <v>253</v>
      </c>
      <c r="E11" s="90" t="s">
        <v>253</v>
      </c>
      <c r="F11" s="90" t="s">
        <v>253</v>
      </c>
      <c r="G11" s="90" t="s">
        <v>253</v>
      </c>
      <c r="H11" s="90" t="s">
        <v>253</v>
      </c>
    </row>
    <row r="12">
      <c r="A12" s="91" t="s">
        <v>254</v>
      </c>
      <c r="B12" s="91" t="s">
        <v>164</v>
      </c>
      <c r="C12" s="91" t="s">
        <v>255</v>
      </c>
      <c r="D12" s="91" t="s">
        <v>253</v>
      </c>
      <c r="E12" s="91" t="s">
        <v>253</v>
      </c>
      <c r="F12" s="91" t="s">
        <v>253</v>
      </c>
      <c r="G12" s="91" t="s">
        <v>253</v>
      </c>
      <c r="H12" s="91" t="s">
        <v>253</v>
      </c>
    </row>
    <row r="13">
      <c r="A13" s="90" t="s">
        <v>256</v>
      </c>
      <c r="B13" s="90" t="s">
        <v>257</v>
      </c>
      <c r="C13" s="90" t="s">
        <v>259</v>
      </c>
      <c r="D13" s="90" t="s">
        <v>253</v>
      </c>
      <c r="E13" s="90" t="s">
        <v>253</v>
      </c>
      <c r="F13" s="90" t="s">
        <v>253</v>
      </c>
      <c r="G13" s="90" t="s">
        <v>253</v>
      </c>
      <c r="H13" s="90" t="s">
        <v>253</v>
      </c>
    </row>
    <row r="14">
      <c r="A14" s="90" t="s">
        <v>260</v>
      </c>
      <c r="B14" s="90" t="s">
        <v>261</v>
      </c>
      <c r="C14" s="90" t="s">
        <v>262</v>
      </c>
      <c r="D14" s="90" t="s">
        <v>253</v>
      </c>
      <c r="E14" s="90" t="s">
        <v>253</v>
      </c>
      <c r="F14" s="90" t="s">
        <v>253</v>
      </c>
      <c r="G14" s="90" t="s">
        <v>253</v>
      </c>
      <c r="H14" s="90" t="s">
        <v>253</v>
      </c>
    </row>
    <row r="15">
      <c r="A15" s="90" t="s">
        <v>263</v>
      </c>
      <c r="B15" s="90" t="s">
        <v>264</v>
      </c>
      <c r="C15" s="90" t="s">
        <v>265</v>
      </c>
      <c r="D15" s="90" t="s">
        <v>253</v>
      </c>
      <c r="E15" s="90" t="s">
        <v>253</v>
      </c>
      <c r="F15" s="90" t="s">
        <v>253</v>
      </c>
      <c r="G15" s="90" t="s">
        <v>253</v>
      </c>
      <c r="H15" s="90" t="s">
        <v>253</v>
      </c>
    </row>
    <row r="16">
      <c r="A16" s="90" t="s">
        <v>266</v>
      </c>
      <c r="B16" s="90" t="s">
        <v>267</v>
      </c>
      <c r="C16" s="90" t="s">
        <v>246</v>
      </c>
      <c r="D16" s="90" t="s">
        <v>253</v>
      </c>
      <c r="E16" s="90" t="s">
        <v>253</v>
      </c>
      <c r="F16" s="90" t="s">
        <v>253</v>
      </c>
      <c r="G16" s="90" t="s">
        <v>253</v>
      </c>
      <c r="H16" s="90" t="s">
        <v>253</v>
      </c>
    </row>
    <row r="17">
      <c r="A17" s="90" t="s">
        <v>269</v>
      </c>
      <c r="B17" s="90" t="s">
        <v>270</v>
      </c>
      <c r="C17" s="90" t="s">
        <v>271</v>
      </c>
      <c r="D17" s="90" t="s">
        <v>253</v>
      </c>
      <c r="E17" s="90" t="s">
        <v>253</v>
      </c>
      <c r="F17" s="90" t="s">
        <v>253</v>
      </c>
      <c r="G17" s="90" t="s">
        <v>253</v>
      </c>
      <c r="H17" s="90" t="s">
        <v>253</v>
      </c>
    </row>
    <row r="18">
      <c r="A18" s="90" t="s">
        <v>272</v>
      </c>
      <c r="B18" s="90" t="s">
        <v>273</v>
      </c>
      <c r="C18" s="90" t="s">
        <v>274</v>
      </c>
      <c r="D18" s="90" t="s">
        <v>253</v>
      </c>
      <c r="E18" s="90" t="s">
        <v>253</v>
      </c>
      <c r="F18" s="90" t="s">
        <v>253</v>
      </c>
      <c r="G18" s="90" t="s">
        <v>253</v>
      </c>
      <c r="H18" s="90" t="s">
        <v>253</v>
      </c>
    </row>
    <row r="19">
      <c r="A19" s="90" t="s">
        <v>276</v>
      </c>
      <c r="B19" s="90" t="s">
        <v>277</v>
      </c>
      <c r="C19" s="90" t="s">
        <v>278</v>
      </c>
      <c r="D19" s="90" t="s">
        <v>253</v>
      </c>
      <c r="E19" s="90" t="s">
        <v>253</v>
      </c>
      <c r="F19" s="90" t="s">
        <v>253</v>
      </c>
      <c r="G19" s="90" t="s">
        <v>253</v>
      </c>
      <c r="H19" s="90" t="s">
        <v>253</v>
      </c>
    </row>
    <row r="20">
      <c r="A20" s="90" t="s">
        <v>279</v>
      </c>
      <c r="B20" s="90" t="s">
        <v>212</v>
      </c>
      <c r="C20" s="90" t="s">
        <v>280</v>
      </c>
      <c r="D20" s="90" t="s">
        <v>253</v>
      </c>
      <c r="E20" s="90" t="s">
        <v>253</v>
      </c>
      <c r="F20" s="90" t="s">
        <v>253</v>
      </c>
      <c r="G20" s="90" t="s">
        <v>253</v>
      </c>
      <c r="H20" s="90" t="s">
        <v>253</v>
      </c>
    </row>
    <row r="21">
      <c r="A21" s="90" t="s">
        <v>281</v>
      </c>
      <c r="B21" s="90" t="s">
        <v>282</v>
      </c>
      <c r="C21" s="90" t="s">
        <v>284</v>
      </c>
      <c r="D21" s="90" t="s">
        <v>253</v>
      </c>
      <c r="E21" s="90" t="s">
        <v>253</v>
      </c>
      <c r="F21" s="90" t="s">
        <v>253</v>
      </c>
      <c r="G21" s="90" t="s">
        <v>253</v>
      </c>
      <c r="H21" s="90" t="s">
        <v>253</v>
      </c>
    </row>
    <row r="22">
      <c r="A22" s="90"/>
      <c r="B22" s="90"/>
      <c r="C22" s="90"/>
      <c r="D22" s="90"/>
      <c r="E22" s="90"/>
      <c r="F22" s="90"/>
      <c r="G22" s="90"/>
      <c r="H22" s="90"/>
    </row>
    <row r="23">
      <c r="A23" s="90"/>
      <c r="B23" s="90"/>
      <c r="C23" s="90"/>
      <c r="D23" s="90"/>
      <c r="E23" s="90"/>
      <c r="F23" s="90"/>
      <c r="G23" s="90"/>
      <c r="H23" s="90"/>
    </row>
    <row r="24">
      <c r="A24" s="90"/>
      <c r="B24" s="90"/>
      <c r="C24" s="90"/>
      <c r="D24" s="90"/>
      <c r="E24" s="90"/>
      <c r="F24" s="90"/>
      <c r="G24" s="90"/>
      <c r="H24" s="90"/>
    </row>
    <row r="25">
      <c r="A25" s="90"/>
      <c r="B25" s="90"/>
      <c r="C25" s="90"/>
      <c r="D25" s="90"/>
      <c r="E25" s="90"/>
      <c r="F25" s="90"/>
      <c r="G25" s="90"/>
      <c r="H25" s="90"/>
    </row>
    <row r="26">
      <c r="A26" s="90"/>
      <c r="B26" s="90"/>
      <c r="C26" s="90"/>
      <c r="D26" s="90"/>
      <c r="E26" s="90"/>
      <c r="F26" s="90"/>
      <c r="G26" s="90"/>
      <c r="H26" s="90"/>
    </row>
    <row r="27">
      <c r="A27" s="90"/>
      <c r="B27" s="90"/>
      <c r="C27" s="90"/>
      <c r="D27" s="90"/>
      <c r="E27" s="90"/>
      <c r="F27" s="90"/>
      <c r="G27" s="90"/>
      <c r="H27" s="90"/>
    </row>
    <row r="28">
      <c r="A28" s="90"/>
      <c r="B28" s="90"/>
      <c r="C28" s="90"/>
      <c r="D28" s="90"/>
      <c r="E28" s="90"/>
      <c r="F28" s="90"/>
      <c r="G28" s="90"/>
      <c r="H28" s="90"/>
    </row>
    <row r="29">
      <c r="A29" s="90"/>
      <c r="B29" s="90"/>
      <c r="C29" s="90"/>
      <c r="D29" s="90"/>
      <c r="E29" s="90"/>
      <c r="F29" s="90"/>
      <c r="G29" s="90"/>
      <c r="H29" s="90"/>
    </row>
    <row r="30">
      <c r="A30" s="90"/>
      <c r="B30" s="90"/>
      <c r="C30" s="90"/>
      <c r="D30" s="90"/>
      <c r="E30" s="90"/>
      <c r="F30" s="90"/>
      <c r="G30" s="90"/>
      <c r="H30" s="90"/>
    </row>
    <row r="31">
      <c r="A31" s="90"/>
      <c r="B31" s="90"/>
      <c r="C31" s="90"/>
      <c r="D31" s="90"/>
      <c r="E31" s="90"/>
      <c r="F31" s="90"/>
      <c r="G31" s="90"/>
      <c r="H31" s="90"/>
    </row>
    <row r="32">
      <c r="A32" s="90"/>
      <c r="B32" s="90"/>
      <c r="C32" s="90"/>
      <c r="D32" s="90"/>
      <c r="E32" s="90"/>
      <c r="F32" s="90"/>
      <c r="G32" s="90"/>
      <c r="H32" s="90"/>
    </row>
    <row r="33">
      <c r="A33" s="90"/>
      <c r="B33" s="90"/>
      <c r="C33" s="90"/>
      <c r="D33" s="90"/>
      <c r="E33" s="90"/>
      <c r="F33" s="90"/>
      <c r="G33" s="90"/>
      <c r="H33" s="90"/>
    </row>
    <row r="34">
      <c r="A34" s="90"/>
      <c r="B34" s="90"/>
      <c r="C34" s="90"/>
      <c r="D34" s="90"/>
      <c r="E34" s="90"/>
      <c r="F34" s="90"/>
      <c r="G34" s="90"/>
      <c r="H34" s="90"/>
    </row>
    <row r="35">
      <c r="A35" s="90"/>
      <c r="B35" s="90"/>
      <c r="C35" s="90"/>
      <c r="D35" s="90"/>
      <c r="E35" s="90"/>
      <c r="F35" s="90"/>
      <c r="G35" s="90"/>
      <c r="H35" s="90"/>
    </row>
    <row r="36">
      <c r="A36" s="90"/>
      <c r="B36" s="90"/>
      <c r="C36" s="90"/>
      <c r="D36" s="90"/>
      <c r="E36" s="90"/>
      <c r="F36" s="90"/>
      <c r="G36" s="90"/>
      <c r="H36" s="90"/>
    </row>
    <row r="37">
      <c r="A37" s="90"/>
      <c r="B37" s="90"/>
      <c r="C37" s="90"/>
      <c r="D37" s="90"/>
      <c r="E37" s="90"/>
      <c r="F37" s="90"/>
      <c r="G37" s="90"/>
      <c r="H37" s="90"/>
    </row>
    <row r="38">
      <c r="A38" s="90"/>
      <c r="B38" s="90"/>
      <c r="C38" s="90"/>
      <c r="D38" s="90"/>
      <c r="E38" s="90"/>
      <c r="F38" s="90"/>
      <c r="G38" s="90"/>
      <c r="H38" s="90"/>
    </row>
    <row r="39">
      <c r="A39" s="90"/>
      <c r="B39" s="90"/>
      <c r="C39" s="90"/>
      <c r="D39" s="90"/>
      <c r="E39" s="90"/>
      <c r="F39" s="90"/>
      <c r="G39" s="90"/>
      <c r="H39" s="90"/>
    </row>
    <row r="40">
      <c r="A40" s="90"/>
      <c r="B40" s="90"/>
      <c r="C40" s="90"/>
      <c r="D40" s="90"/>
      <c r="E40" s="90"/>
      <c r="F40" s="90"/>
      <c r="G40" s="90"/>
      <c r="H40" s="90"/>
    </row>
  </sheetData>
  <mergeCells count="2">
    <mergeCell ref="A1:H1"/>
    <mergeCell ref="A2:H2"/>
  </mergeCells>
  <drawing r:id="rId1"/>
</worksheet>
</file>